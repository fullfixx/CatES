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0" windowWidth="28800" windowHeight="11835" tabRatio="792"/>
  </bookViews>
  <sheets>
    <sheet name="ResTotal" sheetId="21" r:id="rId1"/>
    <sheet name="ResDIV" sheetId="5" r:id="rId2"/>
    <sheet name="set" sheetId="1" r:id="rId3"/>
    <sheet name="Заголовки" sheetId="4" r:id="rId4"/>
    <sheet name="Sh1" sheetId="2" r:id="rId5"/>
    <sheet name="Sh2" sheetId="3" r:id="rId6"/>
    <sheet name="Sh3" sheetId="20" r:id="rId7"/>
    <sheet name="Sh4" sheetId="8" r:id="rId8"/>
    <sheet name="Sh5" sheetId="9" r:id="rId9"/>
    <sheet name="Sh6" sheetId="10" r:id="rId10"/>
    <sheet name="Sh7" sheetId="11" r:id="rId11"/>
    <sheet name="Sh8" sheetId="12" r:id="rId12"/>
    <sheet name="Sh9" sheetId="13" r:id="rId13"/>
    <sheet name="Sh10" sheetId="14" r:id="rId14"/>
    <sheet name="Sh11" sheetId="15" r:id="rId15"/>
    <sheet name="Sh12" sheetId="16" r:id="rId16"/>
    <sheet name="Sh13" sheetId="17" r:id="rId17"/>
    <sheet name="Sh14" sheetId="18" r:id="rId18"/>
    <sheet name="Sh15" sheetId="19" r:id="rId19"/>
    <sheet name="Sh16" sheetId="22" r:id="rId20"/>
    <sheet name="Sh17" sheetId="23" r:id="rId21"/>
    <sheet name="Sh18" sheetId="24" r:id="rId22"/>
    <sheet name="Sh19" sheetId="25" r:id="rId23"/>
    <sheet name="Sh20" sheetId="26" r:id="rId24"/>
    <sheet name="Sh21" sheetId="27" r:id="rId25"/>
    <sheet name="Спецсимволы" sheetId="6" r:id="rId26"/>
  </sheets>
  <definedNames>
    <definedName name="ResDIVs">ResDIV!$A$1:$U$30</definedName>
    <definedName name="МАССИВАДР">IF(ISBLANK(ResDIVs),""--((COLUMN(ResDIVs)-МИНСТОЛБЕЦ+1)&amp;CHOOSE(LEN(ROW(ResDIVs)-МИНСТРОКА+1),"0","")&amp;ROW(ResDIVs)-МИНСТРОКА+1))</definedName>
    <definedName name="МИНСТОЛБЕЦ">MIN(COLUMN(ResDIVs))</definedName>
    <definedName name="МИНСТРОКА">MIN(ROW(ResDIVs))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" i="5" l="1"/>
  <c r="V1" i="5"/>
  <c r="V2" i="5" l="1"/>
  <c r="V8" i="5"/>
  <c r="V7" i="5"/>
  <c r="V6" i="5"/>
  <c r="V3" i="5"/>
  <c r="P5" i="5" l="1"/>
  <c r="Q5" i="5"/>
  <c r="R5" i="5"/>
  <c r="S5" i="5"/>
  <c r="T5" i="5"/>
  <c r="U5" i="5"/>
  <c r="P6" i="5"/>
  <c r="Q6" i="5"/>
  <c r="R6" i="5"/>
  <c r="S6" i="5"/>
  <c r="T6" i="5"/>
  <c r="U6" i="5"/>
  <c r="P7" i="5"/>
  <c r="Q7" i="5"/>
  <c r="R7" i="5"/>
  <c r="S7" i="5"/>
  <c r="T7" i="5"/>
  <c r="U7" i="5"/>
  <c r="P8" i="5"/>
  <c r="Q8" i="5"/>
  <c r="R8" i="5"/>
  <c r="S8" i="5"/>
  <c r="T8" i="5"/>
  <c r="U8" i="5"/>
  <c r="P9" i="5"/>
  <c r="Q9" i="5"/>
  <c r="R9" i="5"/>
  <c r="S9" i="5"/>
  <c r="T9" i="5"/>
  <c r="U9" i="5"/>
  <c r="P10" i="5"/>
  <c r="Q10" i="5"/>
  <c r="R10" i="5"/>
  <c r="S10" i="5"/>
  <c r="T10" i="5"/>
  <c r="U10" i="5"/>
  <c r="P11" i="5"/>
  <c r="Q11" i="5"/>
  <c r="R11" i="5"/>
  <c r="S11" i="5"/>
  <c r="T11" i="5"/>
  <c r="U11" i="5"/>
  <c r="U4" i="5"/>
  <c r="T4" i="5"/>
  <c r="S4" i="5"/>
  <c r="R4" i="5"/>
  <c r="Q4" i="5"/>
  <c r="P4" i="5"/>
  <c r="O3" i="5"/>
  <c r="P3" i="5"/>
  <c r="Q3" i="5"/>
  <c r="R3" i="5"/>
  <c r="S3" i="5"/>
  <c r="T3" i="5"/>
  <c r="U3" i="5"/>
  <c r="P2" i="5"/>
  <c r="Q2" i="5"/>
  <c r="R2" i="5"/>
  <c r="S2" i="5"/>
  <c r="T2" i="5"/>
  <c r="U2" i="5"/>
  <c r="P1" i="5"/>
  <c r="Q1" i="5"/>
  <c r="R1" i="5"/>
  <c r="S1" i="5"/>
  <c r="T1" i="5"/>
  <c r="U1" i="5"/>
  <c r="C5" i="5" l="1"/>
  <c r="D5" i="5"/>
  <c r="E5" i="5"/>
  <c r="F5" i="5"/>
  <c r="G5" i="5"/>
  <c r="H5" i="5"/>
  <c r="I5" i="5"/>
  <c r="J5" i="5"/>
  <c r="K5" i="5"/>
  <c r="L5" i="5"/>
  <c r="M5" i="5"/>
  <c r="N5" i="5"/>
  <c r="O5" i="5"/>
  <c r="C6" i="5"/>
  <c r="D6" i="5"/>
  <c r="E6" i="5"/>
  <c r="F6" i="5"/>
  <c r="G6" i="5"/>
  <c r="H6" i="5"/>
  <c r="I6" i="5"/>
  <c r="J6" i="5"/>
  <c r="K6" i="5"/>
  <c r="L6" i="5"/>
  <c r="M6" i="5"/>
  <c r="N6" i="5"/>
  <c r="O6" i="5"/>
  <c r="C7" i="5"/>
  <c r="D7" i="5"/>
  <c r="E7" i="5"/>
  <c r="F7" i="5"/>
  <c r="G7" i="5"/>
  <c r="H7" i="5"/>
  <c r="I7" i="5"/>
  <c r="J7" i="5"/>
  <c r="K7" i="5"/>
  <c r="L7" i="5"/>
  <c r="M7" i="5"/>
  <c r="N7" i="5"/>
  <c r="O7" i="5"/>
  <c r="C8" i="5"/>
  <c r="D8" i="5"/>
  <c r="E8" i="5"/>
  <c r="F8" i="5"/>
  <c r="G8" i="5"/>
  <c r="H8" i="5"/>
  <c r="I8" i="5"/>
  <c r="J8" i="5"/>
  <c r="K8" i="5"/>
  <c r="L8" i="5"/>
  <c r="M8" i="5"/>
  <c r="N8" i="5"/>
  <c r="O8" i="5"/>
  <c r="C9" i="5"/>
  <c r="D9" i="5"/>
  <c r="E9" i="5"/>
  <c r="F9" i="5"/>
  <c r="G9" i="5"/>
  <c r="H9" i="5"/>
  <c r="I9" i="5"/>
  <c r="J9" i="5"/>
  <c r="K9" i="5"/>
  <c r="L9" i="5"/>
  <c r="M9" i="5"/>
  <c r="N9" i="5"/>
  <c r="O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O4" i="5"/>
  <c r="N4" i="5"/>
  <c r="M4" i="5"/>
  <c r="L4" i="5"/>
  <c r="K4" i="5"/>
  <c r="J4" i="5"/>
  <c r="I4" i="5"/>
  <c r="H4" i="5"/>
  <c r="G4" i="5"/>
  <c r="F4" i="5"/>
  <c r="E4" i="5"/>
  <c r="D4" i="5"/>
  <c r="A4" i="5"/>
  <c r="C4" i="5"/>
  <c r="B5" i="5"/>
  <c r="B6" i="5"/>
  <c r="B7" i="5"/>
  <c r="B8" i="5"/>
  <c r="B9" i="5"/>
  <c r="B10" i="5"/>
  <c r="B11" i="5"/>
  <c r="B4" i="5"/>
  <c r="B3" i="5"/>
  <c r="C3" i="5"/>
  <c r="D3" i="5"/>
  <c r="E3" i="5"/>
  <c r="F3" i="5"/>
  <c r="G3" i="5"/>
  <c r="H3" i="5"/>
  <c r="I3" i="5"/>
  <c r="J3" i="5"/>
  <c r="K3" i="5"/>
  <c r="L3" i="5"/>
  <c r="M3" i="5"/>
  <c r="N3" i="5"/>
  <c r="A3" i="5"/>
  <c r="C2" i="5"/>
  <c r="D2" i="5"/>
  <c r="E2" i="5"/>
  <c r="F2" i="5"/>
  <c r="G2" i="5"/>
  <c r="H2" i="5"/>
  <c r="I2" i="5"/>
  <c r="J2" i="5"/>
  <c r="K2" i="5"/>
  <c r="L2" i="5"/>
  <c r="M2" i="5"/>
  <c r="N2" i="5"/>
  <c r="O2" i="5"/>
  <c r="B2" i="5"/>
  <c r="A2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A1" i="5"/>
  <c r="C1" i="21" s="1"/>
  <c r="A11" i="5" l="1"/>
  <c r="A5" i="5"/>
  <c r="A6" i="5"/>
  <c r="A7" i="5"/>
  <c r="A8" i="5"/>
  <c r="A9" i="5"/>
  <c r="A10" i="5"/>
</calcChain>
</file>

<file path=xl/sharedStrings.xml><?xml version="1.0" encoding="utf-8"?>
<sst xmlns="http://schemas.openxmlformats.org/spreadsheetml/2006/main" count="425" uniqueCount="101">
  <si>
    <t>etwow_bgt</t>
  </si>
  <si>
    <t>cc</t>
  </si>
  <si>
    <t>sec01</t>
  </si>
  <si>
    <t>sec02</t>
  </si>
  <si>
    <t>fh</t>
  </si>
  <si>
    <t>mt</t>
  </si>
  <si>
    <t>str</t>
  </si>
  <si>
    <t>ff</t>
  </si>
  <si>
    <t>fw</t>
  </si>
  <si>
    <t>ebu</t>
  </si>
  <si>
    <t>fs</t>
  </si>
  <si>
    <t>ch</t>
  </si>
  <si>
    <t>rs</t>
  </si>
  <si>
    <t>rw</t>
  </si>
  <si>
    <t>Консоль управления</t>
  </si>
  <si>
    <t>Складной руль</t>
  </si>
  <si>
    <t>Рулевая колонка</t>
  </si>
  <si>
    <t>Рулевой механизм</t>
  </si>
  <si>
    <t>Вилка переднего колеса</t>
  </si>
  <si>
    <t>Мотор-колесо переднее</t>
  </si>
  <si>
    <t>Электронный блок управления</t>
  </si>
  <si>
    <t>Механизм складывания шасси</t>
  </si>
  <si>
    <t>Шасси (рама)</t>
  </si>
  <si>
    <t>Подвеска и тормоз заднего колеса</t>
  </si>
  <si>
    <t>Колесо заднее</t>
  </si>
  <si>
    <t>sec03</t>
  </si>
  <si>
    <t>sec04</t>
  </si>
  <si>
    <t>sec05</t>
  </si>
  <si>
    <t>sec06</t>
  </si>
  <si>
    <t>sec07</t>
  </si>
  <si>
    <t>sec08</t>
  </si>
  <si>
    <t>sec09</t>
  </si>
  <si>
    <t>sec10</t>
  </si>
  <si>
    <t>sec11</t>
  </si>
  <si>
    <t>Саморез</t>
  </si>
  <si>
    <t>Крышка дисплея защитная</t>
  </si>
  <si>
    <t>Защита кнопок дисплея</t>
  </si>
  <si>
    <t>Стекло дисплея</t>
  </si>
  <si>
    <t>Плата консоли электронная</t>
  </si>
  <si>
    <t>http://partsgowheel.ru/?s=</t>
  </si>
  <si>
    <t>&amp;post_type=product&amp;type_aws=true</t>
  </si>
  <si>
    <t>21206TB000</t>
  </si>
  <si>
    <t>21207TB000</t>
  </si>
  <si>
    <t>21201TB000</t>
  </si>
  <si>
    <t>21202TB000</t>
  </si>
  <si>
    <t>21203TB000</t>
  </si>
  <si>
    <t>21204TB000</t>
  </si>
  <si>
    <t>21205TB000</t>
  </si>
  <si>
    <t>cats/img/</t>
  </si>
  <si>
    <t>модель самоката</t>
  </si>
  <si>
    <t>размер маркера</t>
  </si>
  <si>
    <t>левая часть поискового запроса</t>
  </si>
  <si>
    <t>правая часть поискового запроса</t>
  </si>
  <si>
    <t>путь к папке с изображениями</t>
  </si>
  <si>
    <t>21208TB000</t>
  </si>
  <si>
    <t>21209TB000</t>
  </si>
  <si>
    <t>21210TB000</t>
  </si>
  <si>
    <t>21211TB000</t>
  </si>
  <si>
    <t>21212TB000</t>
  </si>
  <si>
    <t>21213TB000</t>
  </si>
  <si>
    <t>21214TB000</t>
  </si>
  <si>
    <t>Подшипник</t>
  </si>
  <si>
    <t>Сальник</t>
  </si>
  <si>
    <t>Рычаг</t>
  </si>
  <si>
    <t>Накладка</t>
  </si>
  <si>
    <t>Прокладка</t>
  </si>
  <si>
    <t>Болт</t>
  </si>
  <si>
    <t>Гайка</t>
  </si>
  <si>
    <t>СИМВОЛ(34)</t>
  </si>
  <si>
    <t>двойные кавычки</t>
  </si>
  <si>
    <t>СИМВОЛ(32)</t>
  </si>
  <si>
    <t>пробел</t>
  </si>
  <si>
    <t>&lt;div class="basement"&gt;</t>
  </si>
  <si>
    <t>&lt;!-- БЛОК №1 --&gt;</t>
  </si>
  <si>
    <t>&lt;div class="block_1"&gt;</t>
  </si>
  <si>
    <t>&lt;div class="title"&gt;&lt;br&gt;СПИСОК МОДЕЛЕЙ&lt;br&gt; &lt;span id="title"&gt;ЭЛЕКТРОСАМОКАТОВ&lt;/span&gt;&lt;/div&gt;</t>
  </si>
  <si>
    <t>&lt;div class="menu_main"&gt;</t>
  </si>
  <si>
    <t>&lt;div class="menu_1"&gt;</t>
  </si>
  <si>
    <t>&lt;div class="cell_left" id="etwow_bgt" onClick="select_item(this)"&gt;E-Twow Booster GT&lt;/div&gt;</t>
  </si>
  <si>
    <t>&lt;div class="cell_left" id="xi_m365" onClick="select_item(this)"&gt;Xiaomi M365&lt;/div&gt;</t>
  </si>
  <si>
    <t>&lt;/div&gt;</t>
  </si>
  <si>
    <t>&lt;div class="menu_2"&gt;</t>
  </si>
  <si>
    <t>&lt;div class="cell_left" id="" onClick="select_item(this)"&gt;&amp;nbsp;&lt;/div&gt;</t>
  </si>
  <si>
    <t>sec12</t>
  </si>
  <si>
    <t>sec13</t>
  </si>
  <si>
    <t>sec14</t>
  </si>
  <si>
    <t>sec15</t>
  </si>
  <si>
    <t>none</t>
  </si>
  <si>
    <t>none discr</t>
  </si>
  <si>
    <t>СИМВОЛ(10)</t>
  </si>
  <si>
    <t>перевод строки</t>
  </si>
  <si>
    <t>sec16</t>
  </si>
  <si>
    <t>sec17</t>
  </si>
  <si>
    <t>sec18</t>
  </si>
  <si>
    <t>sec19</t>
  </si>
  <si>
    <t>sec20</t>
  </si>
  <si>
    <t>sec21</t>
  </si>
  <si>
    <t>&lt;!-- БЛОК №2 --&gt;</t>
  </si>
  <si>
    <t>&lt;div class="block_2"&gt;</t>
  </si>
  <si>
    <t>&lt;/map&gt;</t>
  </si>
  <si>
    <t>&lt;/div&gt;&lt;/div&gt;&lt;/div&gt;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</si>
</sst>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 tint="0.3499862666707357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 applyAlignment="1">
      <alignment wrapText="1"/>
    </xf>
    <xf numFmtId="0" fontId="0" fillId="0" borderId="0" xfId="0" applyFont="1"/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57150</xdr:rowOff>
    </xdr:from>
    <xdr:to>
      <xdr:col>0</xdr:col>
      <xdr:colOff>1571625</xdr:colOff>
      <xdr:row>3</xdr:row>
      <xdr:rowOff>9525</xdr:rowOff>
    </xdr:to>
    <xdr:sp macro="[0]!CatPage_Generate_v1" textlink="">
      <xdr:nvSpPr>
        <xdr:cNvPr id="2" name="Скругленный прямоугольник 1"/>
        <xdr:cNvSpPr/>
      </xdr:nvSpPr>
      <xdr:spPr>
        <a:xfrm>
          <a:off x="66675" y="247650"/>
          <a:ext cx="1504950" cy="3333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Загрузить</a:t>
          </a:r>
          <a:r>
            <a:rPr lang="ru-RU" sz="1100" baseline="0"/>
            <a:t> </a:t>
          </a:r>
          <a:r>
            <a:rPr lang="en-US" sz="1100" baseline="0"/>
            <a:t>HTML-</a:t>
          </a:r>
          <a:r>
            <a:rPr lang="ru-RU" sz="1100" baseline="0"/>
            <a:t>код</a:t>
          </a:r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partsgowheel.ru/?s=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C47"/>
  <sheetViews>
    <sheetView tabSelected="1" workbookViewId="0"/>
  </sheetViews>
  <sheetFormatPr defaultColWidth="8.7109375" defaultRowHeight="15" customHeight="1" x14ac:dyDescent="0.25"/>
  <cols>
    <col min="1" max="1" width="170" style="8" customWidth="1"/>
    <col min="2" max="2" width="8.7109375" style="7" customWidth="1"/>
    <col min="3" max="3" width="8.7109375" customWidth="1"/>
  </cols>
  <sheetData>
    <row r="1" spans="1:3" ht="15" customHeight="1" x14ac:dyDescent="0.25">
      <c r="A1" s="6"/>
      <c r="C1" s="11" t="str">
        <f>INDEX(ResDIVs,IF(IF((ROW()-INT(ROW()/30)*30)&gt;30,1,(ROW()-INT(ROW()/30)*30))=0,30,IF((ROW()-INT(ROW()/30)*30)&gt;30,1,(ROW()-INT(ROW()/30)*30))),CEILING(ROW()/30,1))</f>
        <v>&lt;div class="scheme etwow_bgt sec01" style="display:none"&gt;</v>
      </c>
    </row>
    <row r="2" spans="1:3" ht="15" customHeight="1" x14ac:dyDescent="0.25">
      <c r="A2" s="6"/>
      <c r="B2" s="11"/>
    </row>
    <row r="3" spans="1:3" ht="15" customHeight="1" x14ac:dyDescent="0.25">
      <c r="A3" s="6"/>
      <c r="B3" s="11"/>
    </row>
    <row r="4" spans="1:3" ht="15" customHeight="1" x14ac:dyDescent="0.25">
      <c r="A4" s="6"/>
      <c r="B4" s="11"/>
    </row>
    <row r="5" spans="1:3" ht="15" customHeight="1" x14ac:dyDescent="0.25">
      <c r="A5" s="6"/>
      <c r="B5" s="11"/>
    </row>
    <row r="6" spans="1:3" ht="15" customHeight="1" x14ac:dyDescent="0.25">
      <c r="A6" s="6"/>
      <c r="B6" s="11"/>
    </row>
    <row r="7" spans="1:3" ht="15" customHeight="1" x14ac:dyDescent="0.25">
      <c r="A7" s="6"/>
      <c r="B7" s="11"/>
    </row>
    <row r="8" spans="1:3" ht="15" customHeight="1" x14ac:dyDescent="0.25">
      <c r="A8" s="6"/>
      <c r="B8" s="11"/>
    </row>
    <row r="9" spans="1:3" ht="15" customHeight="1" x14ac:dyDescent="0.25">
      <c r="A9" s="6"/>
      <c r="B9" s="11"/>
    </row>
    <row r="10" spans="1:3" ht="15" customHeight="1" x14ac:dyDescent="0.25">
      <c r="A10" s="6"/>
      <c r="B10" s="11"/>
    </row>
    <row r="11" spans="1:3" ht="15" customHeight="1" x14ac:dyDescent="0.25">
      <c r="A11" s="6"/>
      <c r="B11" s="11"/>
    </row>
    <row r="12" spans="1:3" ht="15" customHeight="1" x14ac:dyDescent="0.25">
      <c r="A12" s="6"/>
      <c r="B12" s="11"/>
    </row>
    <row r="13" spans="1:3" ht="15" customHeight="1" x14ac:dyDescent="0.25">
      <c r="A13" s="6"/>
      <c r="B13" s="11"/>
    </row>
    <row r="14" spans="1:3" ht="15" customHeight="1" x14ac:dyDescent="0.25">
      <c r="A14" s="6"/>
      <c r="B14" s="11"/>
    </row>
    <row r="15" spans="1:3" ht="15" customHeight="1" x14ac:dyDescent="0.25">
      <c r="A15" s="6"/>
      <c r="B15" s="11"/>
    </row>
    <row r="16" spans="1:3" ht="15" customHeight="1" x14ac:dyDescent="0.25">
      <c r="A16" s="6"/>
      <c r="B16" s="11"/>
    </row>
    <row r="17" spans="1:2" ht="15" customHeight="1" x14ac:dyDescent="0.25">
      <c r="A17" s="6"/>
      <c r="B17" s="11"/>
    </row>
    <row r="18" spans="1:2" ht="15" customHeight="1" x14ac:dyDescent="0.25">
      <c r="A18" s="6"/>
      <c r="B18" s="11"/>
    </row>
    <row r="19" spans="1:2" ht="15" customHeight="1" x14ac:dyDescent="0.25">
      <c r="A19" s="6"/>
      <c r="B19" s="11"/>
    </row>
    <row r="20" spans="1:2" ht="15" customHeight="1" x14ac:dyDescent="0.25">
      <c r="A20" s="6"/>
      <c r="B20" s="11"/>
    </row>
    <row r="21" spans="1:2" ht="15" customHeight="1" x14ac:dyDescent="0.25">
      <c r="A21" s="10"/>
      <c r="B21" s="11"/>
    </row>
    <row r="22" spans="1:2" ht="15" customHeight="1" x14ac:dyDescent="0.25">
      <c r="A22" s="10"/>
      <c r="B22" s="11"/>
    </row>
    <row r="23" spans="1:2" ht="15" customHeight="1" x14ac:dyDescent="0.25">
      <c r="A23" s="10"/>
      <c r="B23" s="11"/>
    </row>
    <row r="24" spans="1:2" ht="15" customHeight="1" x14ac:dyDescent="0.25">
      <c r="A24" s="10"/>
      <c r="B24" s="11"/>
    </row>
    <row r="25" spans="1:2" ht="15" customHeight="1" x14ac:dyDescent="0.25">
      <c r="A25" s="10"/>
      <c r="B25" s="11"/>
    </row>
    <row r="26" spans="1:2" ht="15" customHeight="1" x14ac:dyDescent="0.25">
      <c r="A26" s="10"/>
      <c r="B26" s="11"/>
    </row>
    <row r="27" spans="1:2" ht="15" customHeight="1" x14ac:dyDescent="0.25">
      <c r="A27" s="10"/>
      <c r="B27" s="11"/>
    </row>
    <row r="28" spans="1:2" ht="15" customHeight="1" x14ac:dyDescent="0.25">
      <c r="A28" s="10"/>
      <c r="B28" s="11"/>
    </row>
    <row r="29" spans="1:2" ht="15" customHeight="1" x14ac:dyDescent="0.25">
      <c r="A29" s="10"/>
      <c r="B29" s="11"/>
    </row>
    <row r="30" spans="1:2" ht="15" customHeight="1" x14ac:dyDescent="0.25">
      <c r="A30" s="10"/>
      <c r="B30" s="11"/>
    </row>
    <row r="31" spans="1:2" ht="15" customHeight="1" x14ac:dyDescent="0.25">
      <c r="A31" s="10"/>
    </row>
    <row r="32" spans="1:2" ht="15" customHeight="1" x14ac:dyDescent="0.25">
      <c r="A32" s="10"/>
    </row>
    <row r="33" spans="1:1" ht="15" customHeight="1" x14ac:dyDescent="0.25">
      <c r="A33" s="10"/>
    </row>
    <row r="34" spans="1:1" ht="15" customHeight="1" x14ac:dyDescent="0.25">
      <c r="A34" s="10"/>
    </row>
    <row r="35" spans="1:1" ht="15" customHeight="1" x14ac:dyDescent="0.25">
      <c r="A35" s="10"/>
    </row>
    <row r="36" spans="1:1" ht="15" customHeight="1" x14ac:dyDescent="0.25">
      <c r="A36" s="10"/>
    </row>
    <row r="37" spans="1:1" ht="15" customHeight="1" x14ac:dyDescent="0.25">
      <c r="A37" s="10"/>
    </row>
    <row r="38" spans="1:1" ht="15" customHeight="1" x14ac:dyDescent="0.25">
      <c r="A38" s="10"/>
    </row>
    <row r="39" spans="1:1" ht="15" customHeight="1" x14ac:dyDescent="0.25">
      <c r="A39" s="10"/>
    </row>
    <row r="40" spans="1:1" ht="15" customHeight="1" x14ac:dyDescent="0.25">
      <c r="A40" s="10"/>
    </row>
    <row r="41" spans="1:1" ht="15" customHeight="1" x14ac:dyDescent="0.25">
      <c r="A41" s="10"/>
    </row>
    <row r="42" spans="1:1" ht="15" customHeight="1" x14ac:dyDescent="0.25">
      <c r="A42" s="10"/>
    </row>
    <row r="43" spans="1:1" ht="15" customHeight="1" x14ac:dyDescent="0.25">
      <c r="A43" s="10"/>
    </row>
    <row r="44" spans="1:1" ht="15" customHeight="1" x14ac:dyDescent="0.25">
      <c r="A44" s="10"/>
    </row>
    <row r="45" spans="1:1" ht="15" customHeight="1" x14ac:dyDescent="0.25">
      <c r="A45" s="10"/>
    </row>
    <row r="46" spans="1:1" ht="15" customHeight="1" x14ac:dyDescent="0.25">
      <c r="A46" s="10"/>
    </row>
    <row r="47" spans="1:1" ht="15" customHeight="1" x14ac:dyDescent="0.25">
      <c r="A47" s="10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X16"/>
  <sheetViews>
    <sheetView workbookViewId="0">
      <selection activeCell="W1" sqref="W1"/>
    </sheetView>
  </sheetViews>
  <sheetFormatPr defaultColWidth="8.7109375" defaultRowHeight="15" x14ac:dyDescent="0.25"/>
  <cols>
    <col min="1" max="2" width="8.7109375" style="10"/>
    <col min="22" max="23" width="8.7109375" customWidth="1"/>
  </cols>
  <sheetData>
    <row r="1" spans="1:24" x14ac:dyDescent="0.25">
      <c r="A1" s="10" t="str">
        <f>"&lt;div class="&amp;CHAR(34)&amp;"scheme "&amp;set!$A$1&amp;" "&amp;Заголовки!A1&amp;CHAR(34)&amp;" style="&amp;CHAR(34)&amp;"display:none"&amp;CHAR(34)&amp;"&gt;"</f>
        <v>&lt;div class="scheme etwow_bgt sec01" style="display:none"&gt;</v>
      </c>
      <c r="B1" s="10" t="str">
        <f>"&lt;div class="&amp;CHAR(34)&amp;"scheme "&amp;set!$A$1&amp;" "&amp;Заголовки!B1&amp;CHAR(34)&amp;" style="&amp;CHAR(34)&amp;"display:none"&amp;CHAR(34)&amp;"&gt;"</f>
        <v>&lt;div class="scheme etwow_bgt sec02" style="display:none"&gt;</v>
      </c>
      <c r="C1" t="str">
        <f>"&lt;div class="&amp;CHAR(34)&amp;"scheme "&amp;set!$A$1&amp;" "&amp;Заголовки!C1&amp;CHAR(34)&amp;" style="&amp;CHAR(34)&amp;"display:none"&amp;CHAR(34)&amp;"&gt;"</f>
        <v>&lt;div class="scheme etwow_bgt sec03" style="display:none"&gt;</v>
      </c>
      <c r="D1" t="str">
        <f>"&lt;div class="&amp;CHAR(34)&amp;"scheme "&amp;set!$A$1&amp;" "&amp;Заголовки!D1&amp;CHAR(34)&amp;" style="&amp;CHAR(34)&amp;"display:none"&amp;CHAR(34)&amp;"&gt;"</f>
        <v>&lt;div class="scheme etwow_bgt sec04" style="display:none"&gt;</v>
      </c>
      <c r="E1" t="str">
        <f>"&lt;div class="&amp;CHAR(34)&amp;"scheme "&amp;set!$A$1&amp;" "&amp;Заголовки!E1&amp;CHAR(34)&amp;" style="&amp;CHAR(34)&amp;"display:none"&amp;CHAR(34)&amp;"&gt;"</f>
        <v>&lt;div class="scheme etwow_bgt sec05" style="display:none"&gt;</v>
      </c>
      <c r="F1" t="str">
        <f>"&lt;div class="&amp;CHAR(34)&amp;"scheme "&amp;set!$A$1&amp;" "&amp;Заголовки!F1&amp;CHAR(34)&amp;" style="&amp;CHAR(34)&amp;"display:none"&amp;CHAR(34)&amp;"&gt;"</f>
        <v>&lt;div class="scheme etwow_bgt sec06" style="display:none"&gt;</v>
      </c>
      <c r="G1" t="str">
        <f>"&lt;div class="&amp;CHAR(34)&amp;"scheme "&amp;set!$A$1&amp;" "&amp;Заголовки!G1&amp;CHAR(34)&amp;" style="&amp;CHAR(34)&amp;"display:none"&amp;CHAR(34)&amp;"&gt;"</f>
        <v>&lt;div class="scheme etwow_bgt sec07" style="display:none"&gt;</v>
      </c>
      <c r="H1" t="str">
        <f>"&lt;div class="&amp;CHAR(34)&amp;"scheme "&amp;set!$A$1&amp;" "&amp;Заголовки!H1&amp;CHAR(34)&amp;" style="&amp;CHAR(34)&amp;"display:none"&amp;CHAR(34)&amp;"&gt;"</f>
        <v>&lt;div class="scheme etwow_bgt sec08" style="display:none"&gt;</v>
      </c>
      <c r="I1" t="str">
        <f>"&lt;div class="&amp;CHAR(34)&amp;"scheme "&amp;set!$A$1&amp;" "&amp;Заголовки!I1&amp;CHAR(34)&amp;" style="&amp;CHAR(34)&amp;"display:none"&amp;CHAR(34)&amp;"&gt;"</f>
        <v>&lt;div class="scheme etwow_bgt sec09" style="display:none"&gt;</v>
      </c>
      <c r="J1" t="str">
        <f>"&lt;div class="&amp;CHAR(34)&amp;"scheme "&amp;set!$A$1&amp;" "&amp;Заголовки!J1&amp;CHAR(34)&amp;" style="&amp;CHAR(34)&amp;"display:none"&amp;CHAR(34)&amp;"&gt;"</f>
        <v>&lt;div class="scheme etwow_bgt sec10" style="display:none"&gt;</v>
      </c>
      <c r="K1" t="str">
        <f>"&lt;div class="&amp;CHAR(34)&amp;"scheme "&amp;set!$A$1&amp;" "&amp;Заголовки!K1&amp;CHAR(34)&amp;" style="&amp;CHAR(34)&amp;"display:none"&amp;CHAR(34)&amp;"&gt;"</f>
        <v>&lt;div class="scheme etwow_bgt sec11" style="display:none"&gt;</v>
      </c>
      <c r="L1" t="str">
        <f>"&lt;div class="&amp;CHAR(34)&amp;"scheme "&amp;set!$A$1&amp;" "&amp;Заголовки!L1&amp;CHAR(34)&amp;" style="&amp;CHAR(34)&amp;"display:none"&amp;CHAR(34)&amp;"&gt;"</f>
        <v>&lt;div class="scheme etwow_bgt sec12" style="display:none"&gt;</v>
      </c>
      <c r="M1" t="str">
        <f>"&lt;div class="&amp;CHAR(34)&amp;"scheme "&amp;set!$A$1&amp;" "&amp;Заголовки!M1&amp;CHAR(34)&amp;" style="&amp;CHAR(34)&amp;"display:none"&amp;CHAR(34)&amp;"&gt;"</f>
        <v>&lt;div class="scheme etwow_bgt sec13" style="display:none"&gt;</v>
      </c>
      <c r="N1" t="str">
        <f>"&lt;div class="&amp;CHAR(34)&amp;"scheme "&amp;set!$A$1&amp;" "&amp;Заголовки!N1&amp;CHAR(34)&amp;" style="&amp;CHAR(34)&amp;"display:none"&amp;CHAR(34)&amp;"&gt;"</f>
        <v>&lt;div class="scheme etwow_bgt sec14" style="display:none"&gt;</v>
      </c>
      <c r="O1" t="str">
        <f>"&lt;div class="&amp;CHAR(34)&amp;"scheme "&amp;set!$A$1&amp;" "&amp;Заголовки!O1&amp;CHAR(34)&amp;" style="&amp;CHAR(34)&amp;"display:none"&amp;CHAR(34)&amp;"&gt;"</f>
        <v>&lt;div class="scheme etwow_bgt sec15" style="display:none"&gt;</v>
      </c>
      <c r="P1" t="str">
        <f>"&lt;div class="&amp;CHAR(34)&amp;"scheme "&amp;set!$A$1&amp;" "&amp;Заголовки!P1&amp;CHAR(34)&amp;" style="&amp;CHAR(34)&amp;"display:none"&amp;CHAR(34)&amp;"&gt;"</f>
        <v>&lt;div class="scheme etwow_bgt sec16" style="display:none"&gt;</v>
      </c>
      <c r="Q1" t="str">
        <f>"&lt;div class="&amp;CHAR(34)&amp;"scheme "&amp;set!$A$1&amp;" "&amp;Заголовки!Q1&amp;CHAR(34)&amp;" style="&amp;CHAR(34)&amp;"display:none"&amp;CHAR(34)&amp;"&gt;"</f>
        <v>&lt;div class="scheme etwow_bgt sec17" style="display:none"&gt;</v>
      </c>
      <c r="R1" t="str">
        <f>"&lt;div class="&amp;CHAR(34)&amp;"scheme "&amp;set!$A$1&amp;" "&amp;Заголовки!R1&amp;CHAR(34)&amp;" style="&amp;CHAR(34)&amp;"display:none"&amp;CHAR(34)&amp;"&gt;"</f>
        <v>&lt;div class="scheme etwow_bgt sec18" style="display:none"&gt;</v>
      </c>
      <c r="S1" t="str">
        <f>"&lt;div class="&amp;CHAR(34)&amp;"scheme "&amp;set!$A$1&amp;" "&amp;Заголовки!S1&amp;CHAR(34)&amp;" style="&amp;CHAR(34)&amp;"display:none"&amp;CHAR(34)&amp;"&gt;"</f>
        <v>&lt;div class="scheme etwow_bgt sec19" style="display:none"&gt;</v>
      </c>
      <c r="T1" t="str">
        <f>"&lt;div class="&amp;CHAR(34)&amp;"scheme "&amp;set!$A$1&amp;" "&amp;Заголовки!T1&amp;CHAR(34)&amp;" style="&amp;CHAR(34)&amp;"display:none"&amp;CHAR(34)&amp;"&gt;"</f>
        <v>&lt;div class="scheme etwow_bgt sec20" style="display:none"&gt;</v>
      </c>
      <c r="U1" t="str">
        <f>"&lt;div class="&amp;CHAR(34)&amp;"scheme "&amp;set!$A$1&amp;" "&amp;Заголовки!U1&amp;CHAR(34)&amp;" style="&amp;CHAR(34)&amp;"display:none"&amp;CHAR(34)&amp;"&gt;"</f>
        <v>&lt;div class="scheme etwow_bgt sec21" style="display:none"&gt;</v>
      </c>
      <c r="V1" s="6" t="str">
        <f>"&lt;!-- "&amp;set!$A$1&amp;" begin --&gt;"</f>
        <v>&lt;!-- etwow_bgt begin --&gt;</v>
      </c>
      <c r="W1" s="6" t="str">
        <f>"&lt;!-- "&amp;set!$A$1&amp;" end --&gt;"</f>
        <v>&lt;!-- etwow_bgt end --&gt;</v>
      </c>
      <c r="X1" s="6" t="s">
        <v>72</v>
      </c>
    </row>
    <row r="2" spans="1:24" x14ac:dyDescent="0.25">
      <c r="A2" s="10" t="str">
        <f>"&lt;img class="&amp;CHAR(34)&amp;"map"&amp;CHAR(34)&amp;" src="&amp;CHAR(34)&amp;set!$A$5&amp;set!$A$1&amp;"_"&amp;Заголовки!A2&amp;".jpg"&amp;CHAR(34)&amp;" usemap="&amp;CHAR(34)&amp;"#"&amp;set!$A$1&amp;"_"&amp;Заголовки!B15&amp;CHAR(34)&amp;" name="&amp;CHAR(34)&amp;"show"&amp;CHAR(34)&amp;"&gt;"</f>
        <v>&lt;img class="map" src="cats/img/etwow_bgt_cc.jpg" usemap="#etwow_bgt_cc" name="show"&gt;</v>
      </c>
      <c r="B2" s="10" t="str">
        <f>"&lt;img class="&amp;CHAR(34)&amp;"map"&amp;CHAR(34)&amp;" src="&amp;CHAR(34)&amp;set!$A$5&amp;set!$A$1&amp;"_"&amp;Заголовки!B2&amp;".jpg"&amp;CHAR(34)&amp;" usemap="&amp;CHAR(34)&amp;"#"&amp;set!$A$1&amp;"_"&amp;Заголовки!C15&amp;CHAR(34)&amp;" name="&amp;CHAR(34)&amp;"show"&amp;CHAR(34)&amp;"&gt;"</f>
        <v>&lt;img class="map" src="cats/img/etwow_bgt_fh.jpg" usemap="#etwow_bgt_Консоль управления" name="show"&gt;</v>
      </c>
      <c r="C2" t="str">
        <f>"&lt;img class="&amp;CHAR(34)&amp;"map"&amp;CHAR(34)&amp;" src="&amp;CHAR(34)&amp;set!$A$5&amp;set!$A$1&amp;"_"&amp;Заголовки!C2&amp;".jpg"&amp;CHAR(34)&amp;" usemap="&amp;CHAR(34)&amp;"#"&amp;set!$A$1&amp;"_"&amp;Заголовки!D15&amp;CHAR(34)&amp;" name="&amp;CHAR(34)&amp;"show"&amp;CHAR(34)&amp;"&gt;"</f>
        <v>&lt;img class="map" src="cats/img/etwow_bgt_mt.jpg" usemap="#etwow_bgt_" name="show"&gt;</v>
      </c>
      <c r="D2" t="str">
        <f>"&lt;img class="&amp;CHAR(34)&amp;"map"&amp;CHAR(34)&amp;" src="&amp;CHAR(34)&amp;set!$A$5&amp;set!$A$1&amp;"_"&amp;Заголовки!D2&amp;".jpg"&amp;CHAR(34)&amp;" usemap="&amp;CHAR(34)&amp;"#"&amp;set!$A$1&amp;"_"&amp;Заголовки!E15&amp;CHAR(34)&amp;" name="&amp;CHAR(34)&amp;"show"&amp;CHAR(34)&amp;"&gt;"</f>
        <v>&lt;img class="map" src="cats/img/etwow_bgt_str.jpg" usemap="#etwow_bgt_" name="show"&gt;</v>
      </c>
      <c r="E2" t="str">
        <f>"&lt;img class="&amp;CHAR(34)&amp;"map"&amp;CHAR(34)&amp;" src="&amp;CHAR(34)&amp;set!$A$5&amp;set!$A$1&amp;"_"&amp;Заголовки!E2&amp;".jpg"&amp;CHAR(34)&amp;" usemap="&amp;CHAR(34)&amp;"#"&amp;set!$A$1&amp;"_"&amp;Заголовки!F15&amp;CHAR(34)&amp;" name="&amp;CHAR(34)&amp;"show"&amp;CHAR(34)&amp;"&gt;"</f>
        <v>&lt;img class="map" src="cats/img/etwow_bgt_ff.jpg" usemap="#etwow_bgt_" name="show"&gt;</v>
      </c>
      <c r="F2" t="str">
        <f>"&lt;img class="&amp;CHAR(34)&amp;"map"&amp;CHAR(34)&amp;" src="&amp;CHAR(34)&amp;set!$A$5&amp;set!$A$1&amp;"_"&amp;Заголовки!F2&amp;".jpg"&amp;CHAR(34)&amp;" usemap="&amp;CHAR(34)&amp;"#"&amp;set!$A$1&amp;"_"&amp;Заголовки!G15&amp;CHAR(34)&amp;" name="&amp;CHAR(34)&amp;"show"&amp;CHAR(34)&amp;"&gt;"</f>
        <v>&lt;img class="map" src="cats/img/etwow_bgt_fw.jpg" usemap="#etwow_bgt_" name="show"&gt;</v>
      </c>
      <c r="G2" t="str">
        <f>"&lt;img class="&amp;CHAR(34)&amp;"map"&amp;CHAR(34)&amp;" src="&amp;CHAR(34)&amp;set!$A$5&amp;set!$A$1&amp;"_"&amp;Заголовки!G2&amp;".jpg"&amp;CHAR(34)&amp;" usemap="&amp;CHAR(34)&amp;"#"&amp;set!$A$1&amp;"_"&amp;Заголовки!H15&amp;CHAR(34)&amp;" name="&amp;CHAR(34)&amp;"show"&amp;CHAR(34)&amp;"&gt;"</f>
        <v>&lt;img class="map" src="cats/img/etwow_bgt_ebu.jpg" usemap="#etwow_bgt_" name="show"&gt;</v>
      </c>
      <c r="H2" t="str">
        <f>"&lt;img class="&amp;CHAR(34)&amp;"map"&amp;CHAR(34)&amp;" src="&amp;CHAR(34)&amp;set!$A$5&amp;set!$A$1&amp;"_"&amp;Заголовки!H2&amp;".jpg"&amp;CHAR(34)&amp;" usemap="&amp;CHAR(34)&amp;"#"&amp;set!$A$1&amp;"_"&amp;Заголовки!I15&amp;CHAR(34)&amp;" name="&amp;CHAR(34)&amp;"show"&amp;CHAR(34)&amp;"&gt;"</f>
        <v>&lt;img class="map" src="cats/img/etwow_bgt_fs.jpg" usemap="#etwow_bgt_" name="show"&gt;</v>
      </c>
      <c r="I2" t="str">
        <f>"&lt;img class="&amp;CHAR(34)&amp;"map"&amp;CHAR(34)&amp;" src="&amp;CHAR(34)&amp;set!$A$5&amp;set!$A$1&amp;"_"&amp;Заголовки!I2&amp;".jpg"&amp;CHAR(34)&amp;" usemap="&amp;CHAR(34)&amp;"#"&amp;set!$A$1&amp;"_"&amp;Заголовки!J15&amp;CHAR(34)&amp;" name="&amp;CHAR(34)&amp;"show"&amp;CHAR(34)&amp;"&gt;"</f>
        <v>&lt;img class="map" src="cats/img/etwow_bgt_ch.jpg" usemap="#etwow_bgt_" name="show"&gt;</v>
      </c>
      <c r="J2" t="str">
        <f>"&lt;img class="&amp;CHAR(34)&amp;"map"&amp;CHAR(34)&amp;" src="&amp;CHAR(34)&amp;set!$A$5&amp;set!$A$1&amp;"_"&amp;Заголовки!J2&amp;".jpg"&amp;CHAR(34)&amp;" usemap="&amp;CHAR(34)&amp;"#"&amp;set!$A$1&amp;"_"&amp;Заголовки!K15&amp;CHAR(34)&amp;" name="&amp;CHAR(34)&amp;"show"&amp;CHAR(34)&amp;"&gt;"</f>
        <v>&lt;img class="map" src="cats/img/etwow_bgt_rs.jpg" usemap="#etwow_bgt_" name="show"&gt;</v>
      </c>
      <c r="K2" t="str">
        <f>"&lt;img class="&amp;CHAR(34)&amp;"map"&amp;CHAR(34)&amp;" src="&amp;CHAR(34)&amp;set!$A$5&amp;set!$A$1&amp;"_"&amp;Заголовки!K2&amp;".jpg"&amp;CHAR(34)&amp;" usemap="&amp;CHAR(34)&amp;"#"&amp;set!$A$1&amp;"_"&amp;Заголовки!L15&amp;CHAR(34)&amp;" name="&amp;CHAR(34)&amp;"show"&amp;CHAR(34)&amp;"&gt;"</f>
        <v>&lt;img class="map" src="cats/img/etwow_bgt_rw.jpg" usemap="#etwow_bgt_" name="show"&gt;</v>
      </c>
      <c r="L2" t="str">
        <f>"&lt;img class="&amp;CHAR(34)&amp;"map"&amp;CHAR(34)&amp;" src="&amp;CHAR(34)&amp;set!$A$5&amp;set!$A$1&amp;"_"&amp;Заголовки!L2&amp;".jpg"&amp;CHAR(34)&amp;" usemap="&amp;CHAR(34)&amp;"#"&amp;set!$A$1&amp;"_"&amp;Заголовки!M15&amp;CHAR(34)&amp;" name="&amp;CHAR(34)&amp;"show"&amp;CHAR(34)&amp;"&gt;"</f>
        <v>&lt;img class="map" src="cats/img/etwow_bgt_none.jpg" usemap="#etwow_bgt_" name="show"&gt;</v>
      </c>
      <c r="M2" t="str">
        <f>"&lt;img class="&amp;CHAR(34)&amp;"map"&amp;CHAR(34)&amp;" src="&amp;CHAR(34)&amp;set!$A$5&amp;set!$A$1&amp;"_"&amp;Заголовки!M2&amp;".jpg"&amp;CHAR(34)&amp;" usemap="&amp;CHAR(34)&amp;"#"&amp;set!$A$1&amp;"_"&amp;Заголовки!N15&amp;CHAR(34)&amp;" name="&amp;CHAR(34)&amp;"show"&amp;CHAR(34)&amp;"&gt;"</f>
        <v>&lt;img class="map" src="cats/img/etwow_bgt_none.jpg" usemap="#etwow_bgt_" name="show"&gt;</v>
      </c>
      <c r="N2" t="str">
        <f>"&lt;img class="&amp;CHAR(34)&amp;"map"&amp;CHAR(34)&amp;" src="&amp;CHAR(34)&amp;set!$A$5&amp;set!$A$1&amp;"_"&amp;Заголовки!N2&amp;".jpg"&amp;CHAR(34)&amp;" usemap="&amp;CHAR(34)&amp;"#"&amp;set!$A$1&amp;"_"&amp;Заголовки!O15&amp;CHAR(34)&amp;" name="&amp;CHAR(34)&amp;"show"&amp;CHAR(34)&amp;"&gt;"</f>
        <v>&lt;img class="map" src="cats/img/etwow_bgt_none.jpg" usemap="#etwow_bgt_" name="show"&gt;</v>
      </c>
      <c r="O2" t="str">
        <f>"&lt;img class="&amp;CHAR(34)&amp;"map"&amp;CHAR(34)&amp;" src="&amp;CHAR(34)&amp;set!$A$5&amp;set!$A$1&amp;"_"&amp;Заголовки!O2&amp;".jpg"&amp;CHAR(34)&amp;" usemap="&amp;CHAR(34)&amp;"#"&amp;set!$A$1&amp;"_"&amp;Заголовки!P15&amp;CHAR(34)&amp;" name="&amp;CHAR(34)&amp;"show"&amp;CHAR(34)&amp;"&gt;"</f>
        <v>&lt;img class="map" src="cats/img/etwow_bgt_none.jpg" usemap="#etwow_bgt_" name="show"&gt;</v>
      </c>
      <c r="P2" t="str">
        <f>"&lt;img class="&amp;CHAR(34)&amp;"map"&amp;CHAR(34)&amp;" src="&amp;CHAR(34)&amp;set!$A$5&amp;set!$A$1&amp;"_"&amp;Заголовки!P2&amp;".jpg"&amp;CHAR(34)&amp;" usemap="&amp;CHAR(34)&amp;"#"&amp;set!$A$1&amp;"_"&amp;Заголовки!Q15&amp;CHAR(34)&amp;" name="&amp;CHAR(34)&amp;"show"&amp;CHAR(34)&amp;"&gt;"</f>
        <v>&lt;img class="map" src="cats/img/etwow_bgt_none.jpg" usemap="#etwow_bgt_" name="show"&gt;</v>
      </c>
      <c r="Q2" t="str">
        <f>"&lt;img class="&amp;CHAR(34)&amp;"map"&amp;CHAR(34)&amp;" src="&amp;CHAR(34)&amp;set!$A$5&amp;set!$A$1&amp;"_"&amp;Заголовки!Q2&amp;".jpg"&amp;CHAR(34)&amp;" usemap="&amp;CHAR(34)&amp;"#"&amp;set!$A$1&amp;"_"&amp;Заголовки!R15&amp;CHAR(34)&amp;" name="&amp;CHAR(34)&amp;"show"&amp;CHAR(34)&amp;"&gt;"</f>
        <v>&lt;img class="map" src="cats/img/etwow_bgt_none.jpg" usemap="#etwow_bgt_" name="show"&gt;</v>
      </c>
      <c r="R2" t="str">
        <f>"&lt;img class="&amp;CHAR(34)&amp;"map"&amp;CHAR(34)&amp;" src="&amp;CHAR(34)&amp;set!$A$5&amp;set!$A$1&amp;"_"&amp;Заголовки!R2&amp;".jpg"&amp;CHAR(34)&amp;" usemap="&amp;CHAR(34)&amp;"#"&amp;set!$A$1&amp;"_"&amp;Заголовки!S15&amp;CHAR(34)&amp;" name="&amp;CHAR(34)&amp;"show"&amp;CHAR(34)&amp;"&gt;"</f>
        <v>&lt;img class="map" src="cats/img/etwow_bgt_none.jpg" usemap="#etwow_bgt_" name="show"&gt;</v>
      </c>
      <c r="S2" t="str">
        <f>"&lt;img class="&amp;CHAR(34)&amp;"map"&amp;CHAR(34)&amp;" src="&amp;CHAR(34)&amp;set!$A$5&amp;set!$A$1&amp;"_"&amp;Заголовки!S2&amp;".jpg"&amp;CHAR(34)&amp;" usemap="&amp;CHAR(34)&amp;"#"&amp;set!$A$1&amp;"_"&amp;Заголовки!T15&amp;CHAR(34)&amp;" name="&amp;CHAR(34)&amp;"show"&amp;CHAR(34)&amp;"&gt;"</f>
        <v>&lt;img class="map" src="cats/img/etwow_bgt_none.jpg" usemap="#etwow_bgt_" name="show"&gt;</v>
      </c>
      <c r="T2" t="str">
        <f>"&lt;img class="&amp;CHAR(34)&amp;"map"&amp;CHAR(34)&amp;" src="&amp;CHAR(34)&amp;set!$A$5&amp;set!$A$1&amp;"_"&amp;Заголовки!T2&amp;".jpg"&amp;CHAR(34)&amp;" usemap="&amp;CHAR(34)&amp;"#"&amp;set!$A$1&amp;"_"&amp;Заголовки!U15&amp;CHAR(34)&amp;" name="&amp;CHAR(34)&amp;"show"&amp;CHAR(34)&amp;"&gt;"</f>
        <v>&lt;img class="map" src="cats/img/etwow_bgt_none.jpg" usemap="#etwow_bgt_" name="show"&gt;</v>
      </c>
      <c r="U2" t="str">
        <f>"&lt;img class="&amp;CHAR(34)&amp;"map"&amp;CHAR(34)&amp;" src="&amp;CHAR(34)&amp;set!$A$5&amp;set!$A$1&amp;"_"&amp;Заголовки!U2&amp;".jpg"&amp;CHAR(34)&amp;" usemap="&amp;CHAR(34)&amp;"#"&amp;set!$A$1&amp;"_"&amp;Заголовки!V15&amp;CHAR(34)&amp;" name="&amp;CHAR(34)&amp;"show"&amp;CHAR(34)&amp;"&gt;"</f>
        <v>&lt;img class="map" src="cats/img/etwow_bgt_none.jpg" usemap="#etwow_bgt_" name="show"&gt;</v>
      </c>
      <c r="V2" s="6" t="str">
        <f>"&lt;div class="&amp;CHAR(34)&amp;"item "&amp;set!$A$1&amp;CHAR(34)&amp;" style="&amp;CHAR(34)&amp;"display:none"&amp;CHAR(34)&amp;"&gt;"</f>
        <v>&lt;div class="item etwow_bgt" style="display:none"&gt;</v>
      </c>
      <c r="W2" s="6"/>
      <c r="X2" s="6" t="s">
        <v>73</v>
      </c>
    </row>
    <row r="3" spans="1:24" x14ac:dyDescent="0.25">
      <c r="A3" s="10" t="str">
        <f>"&lt;map name="&amp;CHAR(34)&amp;set!$A$1&amp;"_"&amp;Заголовки!A2&amp;CHAR(34)&amp;"&gt;"</f>
        <v>&lt;map name="etwow_bgt_cc"&gt;</v>
      </c>
      <c r="B3" s="10" t="str">
        <f>"&lt;map name="&amp;CHAR(34)&amp;set!$A$1&amp;"_"&amp;Заголовки!B2&amp;CHAR(34)&amp;"&gt;"</f>
        <v>&lt;map name="etwow_bgt_fh"&gt;</v>
      </c>
      <c r="C3" t="str">
        <f>"&lt;map name="&amp;CHAR(34)&amp;set!$A$1&amp;"_"&amp;Заголовки!C2&amp;CHAR(34)&amp;"&gt;"</f>
        <v>&lt;map name="etwow_bgt_mt"&gt;</v>
      </c>
      <c r="D3" t="str">
        <f>"&lt;map name="&amp;CHAR(34)&amp;set!$A$1&amp;"_"&amp;Заголовки!D2&amp;CHAR(34)&amp;"&gt;"</f>
        <v>&lt;map name="etwow_bgt_str"&gt;</v>
      </c>
      <c r="E3" t="str">
        <f>"&lt;map name="&amp;CHAR(34)&amp;set!$A$1&amp;"_"&amp;Заголовки!E2&amp;CHAR(34)&amp;"&gt;"</f>
        <v>&lt;map name="etwow_bgt_ff"&gt;</v>
      </c>
      <c r="F3" t="str">
        <f>"&lt;map name="&amp;CHAR(34)&amp;set!$A$1&amp;"_"&amp;Заголовки!F2&amp;CHAR(34)&amp;"&gt;"</f>
        <v>&lt;map name="etwow_bgt_fw"&gt;</v>
      </c>
      <c r="G3" t="str">
        <f>"&lt;map name="&amp;CHAR(34)&amp;set!$A$1&amp;"_"&amp;Заголовки!G2&amp;CHAR(34)&amp;"&gt;"</f>
        <v>&lt;map name="etwow_bgt_ebu"&gt;</v>
      </c>
      <c r="H3" t="str">
        <f>"&lt;map name="&amp;CHAR(34)&amp;set!$A$1&amp;"_"&amp;Заголовки!H2&amp;CHAR(34)&amp;"&gt;"</f>
        <v>&lt;map name="etwow_bgt_fs"&gt;</v>
      </c>
      <c r="I3" t="str">
        <f>"&lt;map name="&amp;CHAR(34)&amp;set!$A$1&amp;"_"&amp;Заголовки!I2&amp;CHAR(34)&amp;"&gt;"</f>
        <v>&lt;map name="etwow_bgt_ch"&gt;</v>
      </c>
      <c r="J3" t="str">
        <f>"&lt;map name="&amp;CHAR(34)&amp;set!$A$1&amp;"_"&amp;Заголовки!J2&amp;CHAR(34)&amp;"&gt;"</f>
        <v>&lt;map name="etwow_bgt_rs"&gt;</v>
      </c>
      <c r="K3" t="str">
        <f>"&lt;map name="&amp;CHAR(34)&amp;set!$A$1&amp;"_"&amp;Заголовки!K2&amp;CHAR(34)&amp;"&gt;"</f>
        <v>&lt;map name="etwow_bgt_rw"&gt;</v>
      </c>
      <c r="L3" t="str">
        <f>"&lt;map name="&amp;CHAR(34)&amp;set!$A$1&amp;"_"&amp;Заголовки!L2&amp;CHAR(34)&amp;"&gt;"</f>
        <v>&lt;map name="etwow_bgt_none"&gt;</v>
      </c>
      <c r="M3" t="str">
        <f>"&lt;map name="&amp;CHAR(34)&amp;set!$A$1&amp;"_"&amp;Заголовки!M2&amp;CHAR(34)&amp;"&gt;"</f>
        <v>&lt;map name="etwow_bgt_none"&gt;</v>
      </c>
      <c r="N3" t="str">
        <f>"&lt;map name="&amp;CHAR(34)&amp;set!$A$1&amp;"_"&amp;Заголовки!N2&amp;CHAR(34)&amp;"&gt;"</f>
        <v>&lt;map name="etwow_bgt_none"&gt;</v>
      </c>
      <c r="O3" t="str">
        <f>"&lt;map name="&amp;CHAR(34)&amp;set!$A$1&amp;"_"&amp;Заголовки!O2&amp;CHAR(34)&amp;"&gt;"</f>
        <v>&lt;map name="etwow_bgt_none"&gt;</v>
      </c>
      <c r="P3" t="str">
        <f>"&lt;map name="&amp;CHAR(34)&amp;set!$A$1&amp;"_"&amp;Заголовки!P2&amp;CHAR(34)&amp;"&gt;"</f>
        <v>&lt;map name="etwow_bgt_none"&gt;</v>
      </c>
      <c r="Q3" t="str">
        <f>"&lt;map name="&amp;CHAR(34)&amp;set!$A$1&amp;"_"&amp;Заголовки!Q2&amp;CHAR(34)&amp;"&gt;"</f>
        <v>&lt;map name="etwow_bgt_none"&gt;</v>
      </c>
      <c r="R3" t="str">
        <f>"&lt;map name="&amp;CHAR(34)&amp;set!$A$1&amp;"_"&amp;Заголовки!R2&amp;CHAR(34)&amp;"&gt;"</f>
        <v>&lt;map name="etwow_bgt_none"&gt;</v>
      </c>
      <c r="S3" t="str">
        <f>"&lt;map name="&amp;CHAR(34)&amp;set!$A$1&amp;"_"&amp;Заголовки!S2&amp;CHAR(34)&amp;"&gt;"</f>
        <v>&lt;map name="etwow_bgt_none"&gt;</v>
      </c>
      <c r="T3" t="str">
        <f>"&lt;map name="&amp;CHAR(34)&amp;set!$A$1&amp;"_"&amp;Заголовки!T2&amp;CHAR(34)&amp;"&gt;"</f>
        <v>&lt;map name="etwow_bgt_none"&gt;</v>
      </c>
      <c r="U3" t="str">
        <f>"&lt;map name="&amp;CHAR(34)&amp;set!$A$1&amp;"_"&amp;Заголовки!U2&amp;CHAR(34)&amp;"&gt;"</f>
        <v>&lt;map name="etwow_bgt_none"&gt;</v>
      </c>
      <c r="V3" s="6" t="str">
        <f>"&lt;img class="&amp;CHAR(34)&amp;"map"&amp;CHAR(34)&amp;" src="&amp;CHAR(34)&amp;set!$A$5&amp;set!$A$1&amp;".jpg"&amp;CHAR(34)&amp;" usemap="&amp;CHAR(34)&amp;"#"&amp;set!$A$1&amp;CHAR(34)&amp;" name="&amp;CHAR(34)&amp;"show"&amp;CHAR(34)&amp;"&gt;"</f>
        <v>&lt;img class="map" src="cats/img/etwow_bgt.jpg" usemap="#etwow_bgt" name="show"&gt;</v>
      </c>
      <c r="W3" s="6"/>
      <c r="X3" s="6" t="s">
        <v>74</v>
      </c>
    </row>
    <row r="4" spans="1:24" x14ac:dyDescent="0.25">
      <c r="A4" s="10" t="str">
        <f>IF(ISBLANK('Sh1'!A1),("&lt;/map&gt;&lt;/div&gt;"),("&lt;area shape="&amp;CHAR(34)&amp;"circle"&amp;CHAR(34)&amp;" target="&amp;CHAR(34)&amp;"_self"&amp;CHAR(34)&amp;" coords="&amp;CHAR(34)&amp;'Sh1'!B1&amp;","&amp;'Sh1'!C1&amp;","&amp;set!$A$2&amp;CHAR(34)&amp;" href="&amp;CHAR(34)&amp;set!$A$3&amp;'Sh1'!A1&amp;set!$A$4&amp;CHAR(34)&amp;" alt="&amp;CHAR(34)&amp;'Sh1'!E1&amp;CHAR(34)&amp;" title="&amp;CHAR(34)&amp;'Sh1'!D1&amp;CHAR(34)&amp;"&gt;"))</f>
        <v>&lt;area shape="circle" target="_self" coords="100,150,11" href="http://partsgowheel.ru/?s=21201TB000&amp;post_type=product&amp;type_aws=true" alt="1" title="Саморез"&gt;</v>
      </c>
      <c r="B4" s="10" t="str">
        <f>IF(ISBLANK('Sh2'!A1),("&lt;/map&gt;&lt;/div&gt;"),("&lt;area shape="&amp;CHAR(34)&amp;"circle"&amp;CHAR(34)&amp;" target="&amp;CHAR(34)&amp;"_self"&amp;CHAR(34)&amp;" coords="&amp;CHAR(34)&amp;'Sh2'!B1&amp;","&amp;'Sh2'!C1&amp;","&amp;set!$A$2&amp;CHAR(34)&amp;" href="&amp;CHAR(34)&amp;set!$A$3&amp;'Sh2'!A1&amp;set!$A$4&amp;CHAR(34)&amp;" alt="&amp;CHAR(34)&amp;'Sh2'!E1&amp;CHAR(34)&amp;" title="&amp;CHAR(34)&amp;'Sh2'!D1&amp;CHAR(34)&amp;"&gt;"))</f>
        <v>&lt;area shape="circle" target="_self" coords="800,850,11" href="http://partsgowheel.ru/?s=21208TB000&amp;post_type=product&amp;type_aws=true" alt="1" title="Подшипник"&gt;</v>
      </c>
      <c r="C4" t="str">
        <f>IF(ISBLANK('Sh3'!A1),("&lt;/map&gt;&lt;/div&gt;"),("&lt;area shape="&amp;CHAR(34)&amp;"circle"&amp;CHAR(34)&amp;" target="&amp;CHAR(34)&amp;"_self"&amp;CHAR(34)&amp;" coords="&amp;CHAR(34)&amp;'Sh3'!B1&amp;","&amp;'Sh3'!C1&amp;","&amp;set!$A$2&amp;CHAR(34)&amp;" href="&amp;CHAR(34)&amp;set!$A$3&amp;'Sh3'!A1&amp;set!$A$4&amp;CHAR(34)&amp;" alt="&amp;CHAR(34)&amp;'Sh3'!E1&amp;CHAR(34)&amp;" title="&amp;CHAR(34)&amp;'Sh3'!D1&amp;CHAR(34)&amp;"&gt;"))</f>
        <v>&lt;area shape="circle" target="_self" coords="100,150,11" href="http://partsgowheel.ru/?s=21201TB000&amp;post_type=product&amp;type_aws=true" alt="1" title="Саморез"&gt;</v>
      </c>
      <c r="D4" t="str">
        <f>IF(ISBLANK('Sh4'!A1),("&lt;/map&gt;&lt;/div&gt;"),("&lt;area shape="&amp;CHAR(34)&amp;"circle"&amp;CHAR(34)&amp;" target="&amp;CHAR(34)&amp;"_self"&amp;CHAR(34)&amp;" coords="&amp;CHAR(34)&amp;'Sh4'!B1&amp;","&amp;'Sh4'!C1&amp;","&amp;set!$A$2&amp;CHAR(34)&amp;" href="&amp;CHAR(34)&amp;set!$A$3&amp;'Sh4'!A1&amp;set!$A$4&amp;CHAR(34)&amp;" alt="&amp;CHAR(34)&amp;'Sh4'!E1&amp;CHAR(34)&amp;" title="&amp;CHAR(34)&amp;'Sh4'!D1&amp;CHAR(34)&amp;"&gt;"))</f>
        <v>&lt;area shape="circle" target="_self" coords="100,150,11" href="http://partsgowheel.ru/?s=21201TB000&amp;post_type=product&amp;type_aws=true" alt="1" title="Саморез"&gt;</v>
      </c>
      <c r="E4" t="str">
        <f>IF(ISBLANK('Sh5'!A1),("&lt;/map&gt;&lt;/div&gt;"),("&lt;area shape="&amp;CHAR(34)&amp;"circle"&amp;CHAR(34)&amp;" target="&amp;CHAR(34)&amp;"_self"&amp;CHAR(34)&amp;" coords="&amp;CHAR(34)&amp;'Sh5'!B1&amp;","&amp;'Sh5'!C1&amp;","&amp;set!$A$2&amp;CHAR(34)&amp;" href="&amp;CHAR(34)&amp;set!$A$3&amp;'Sh5'!A1&amp;set!$A$4&amp;CHAR(34)&amp;" alt="&amp;CHAR(34)&amp;'Sh5'!E1&amp;CHAR(34)&amp;" title="&amp;CHAR(34)&amp;'Sh5'!D1&amp;CHAR(34)&amp;"&gt;"))</f>
        <v>&lt;area shape="circle" target="_self" coords="100,150,11" href="http://partsgowheel.ru/?s=21201TB000&amp;post_type=product&amp;type_aws=true" alt="1" title="Саморез"&gt;</v>
      </c>
      <c r="F4" t="str">
        <f>IF(ISBLANK('Sh6'!A1),("&lt;/map&gt;&lt;/div&gt;"),("&lt;area shape="&amp;CHAR(34)&amp;"circle"&amp;CHAR(34)&amp;" target="&amp;CHAR(34)&amp;"_self"&amp;CHAR(34)&amp;" coords="&amp;CHAR(34)&amp;'Sh6'!B1&amp;","&amp;'Sh6'!C1&amp;","&amp;set!$A$2&amp;CHAR(34)&amp;" href="&amp;CHAR(34)&amp;set!$A$3&amp;'Sh6'!A1&amp;set!$A$4&amp;CHAR(34)&amp;" alt="&amp;CHAR(34)&amp;'Sh6'!E1&amp;CHAR(34)&amp;" title="&amp;CHAR(34)&amp;'Sh6'!D1&amp;CHAR(34)&amp;"&gt;"))</f>
        <v>&lt;area shape="circle" target="_self" coords="100,150,11" href="http://partsgowheel.ru/?s=21201TB000&amp;post_type=product&amp;type_aws=true" alt="1" title="Саморез"&gt;</v>
      </c>
      <c r="G4" t="str">
        <f>IF(ISBLANK('Sh7'!A1),("&lt;/map&gt;&lt;/div&gt;"),("&lt;area shape="&amp;CHAR(34)&amp;"circle"&amp;CHAR(34)&amp;" target="&amp;CHAR(34)&amp;"_self"&amp;CHAR(34)&amp;" coords="&amp;CHAR(34)&amp;'Sh7'!B1&amp;","&amp;'Sh7'!C1&amp;","&amp;set!$A$2&amp;CHAR(34)&amp;" href="&amp;CHAR(34)&amp;set!$A$3&amp;'Sh7'!A1&amp;set!$A$4&amp;CHAR(34)&amp;" alt="&amp;CHAR(34)&amp;'Sh7'!E1&amp;CHAR(34)&amp;" title="&amp;CHAR(34)&amp;'Sh7'!D1&amp;CHAR(34)&amp;"&gt;"))</f>
        <v>&lt;area shape="circle" target="_self" coords="100,150,11" href="http://partsgowheel.ru/?s=21201TB000&amp;post_type=product&amp;type_aws=true" alt="1" title="Саморез"&gt;</v>
      </c>
      <c r="H4" t="str">
        <f>IF(ISBLANK('Sh8'!A1),("&lt;/map&gt;&lt;/div&gt;"),("&lt;area shape="&amp;CHAR(34)&amp;"circle"&amp;CHAR(34)&amp;" target="&amp;CHAR(34)&amp;"_self"&amp;CHAR(34)&amp;" coords="&amp;CHAR(34)&amp;'Sh8'!B1&amp;","&amp;'Sh8'!C1&amp;","&amp;set!$A$2&amp;CHAR(34)&amp;" href="&amp;CHAR(34)&amp;set!$A$3&amp;'Sh8'!A1&amp;set!$A$4&amp;CHAR(34)&amp;" alt="&amp;CHAR(34)&amp;'Sh8'!E1&amp;CHAR(34)&amp;" title="&amp;CHAR(34)&amp;'Sh8'!D1&amp;CHAR(34)&amp;"&gt;"))</f>
        <v>&lt;area shape="circle" target="_self" coords="100,150,11" href="http://partsgowheel.ru/?s=21201TB000&amp;post_type=product&amp;type_aws=true" alt="1" title="Саморез"&gt;</v>
      </c>
      <c r="I4" t="str">
        <f>IF(ISBLANK('Sh9'!A1),("&lt;/map&gt;&lt;/div&gt;"),("&lt;area shape="&amp;CHAR(34)&amp;"circle"&amp;CHAR(34)&amp;" target="&amp;CHAR(34)&amp;"_self"&amp;CHAR(34)&amp;" coords="&amp;CHAR(34)&amp;'Sh9'!B1&amp;","&amp;'Sh9'!C1&amp;","&amp;set!$A$2&amp;CHAR(34)&amp;" href="&amp;CHAR(34)&amp;set!$A$3&amp;'Sh9'!A1&amp;set!$A$4&amp;CHAR(34)&amp;" alt="&amp;CHAR(34)&amp;'Sh9'!E1&amp;CHAR(34)&amp;" title="&amp;CHAR(34)&amp;'Sh9'!D1&amp;CHAR(34)&amp;"&gt;"))</f>
        <v>&lt;area shape="circle" target="_self" coords="100,150,11" href="http://partsgowheel.ru/?s=21201TB000&amp;post_type=product&amp;type_aws=true" alt="1" title="Саморез"&gt;</v>
      </c>
      <c r="J4" t="str">
        <f>IF(ISBLANK('Sh10'!A1),("&lt;/map&gt;&lt;/div&gt;"),("&lt;area shape="&amp;CHAR(34)&amp;"circle"&amp;CHAR(34)&amp;" target="&amp;CHAR(34)&amp;"_self"&amp;CHAR(34)&amp;" coords="&amp;CHAR(34)&amp;'Sh10'!B1&amp;","&amp;'Sh10'!C1&amp;","&amp;set!$A$2&amp;CHAR(34)&amp;" href="&amp;CHAR(34)&amp;set!$A$3&amp;'Sh10'!A1&amp;set!$A$4&amp;CHAR(34)&amp;" alt="&amp;CHAR(34)&amp;'Sh10'!E1&amp;CHAR(34)&amp;" title="&amp;CHAR(34)&amp;'Sh10'!D1&amp;CHAR(34)&amp;"&gt;"))</f>
        <v>&lt;area shape="circle" target="_self" coords="100,150,11" href="http://partsgowheel.ru/?s=21201TB000&amp;post_type=product&amp;type_aws=true" alt="1" title="Саморез"&gt;</v>
      </c>
      <c r="K4" t="str">
        <f>IF(ISBLANK('Sh11'!A1),("&lt;/map&gt;&lt;/div&gt;"),("&lt;area shape="&amp;CHAR(34)&amp;"circle"&amp;CHAR(34)&amp;" target="&amp;CHAR(34)&amp;"_self"&amp;CHAR(34)&amp;" coords="&amp;CHAR(34)&amp;'Sh11'!B1&amp;","&amp;'Sh11'!C1&amp;","&amp;set!$A$2&amp;CHAR(34)&amp;" href="&amp;CHAR(34)&amp;set!$A$3&amp;'Sh11'!A1&amp;set!$A$4&amp;CHAR(34)&amp;" alt="&amp;CHAR(34)&amp;'Sh11'!E1&amp;CHAR(34)&amp;" title="&amp;CHAR(34)&amp;'Sh11'!D1&amp;CHAR(34)&amp;"&gt;"))</f>
        <v>&lt;area shape="circle" target="_self" coords="100,150,11" href="http://partsgowheel.ru/?s=21201TB000&amp;post_type=product&amp;type_aws=true" alt="1" title="Саморез"&gt;</v>
      </c>
      <c r="L4" t="str">
        <f>IF(ISBLANK('Sh12'!A1),("&lt;/map&gt;&lt;/div&gt;"),("&lt;area shape="&amp;CHAR(34)&amp;"circle"&amp;CHAR(34)&amp;" target="&amp;CHAR(34)&amp;"_self"&amp;CHAR(34)&amp;" coords="&amp;CHAR(34)&amp;'Sh12'!B1&amp;","&amp;'Sh12'!C1&amp;","&amp;set!$A$2&amp;CHAR(34)&amp;" href="&amp;CHAR(34)&amp;set!$A$3&amp;'Sh12'!A1&amp;set!$A$4&amp;CHAR(34)&amp;" alt="&amp;CHAR(34)&amp;'Sh12'!E1&amp;CHAR(34)&amp;" title="&amp;CHAR(34)&amp;'Sh12'!D1&amp;CHAR(34)&amp;"&gt;"))</f>
        <v>&lt;area shape="circle" target="_self" coords="100,150,11" href="http://partsgowheel.ru/?s=21201TB000&amp;post_type=product&amp;type_aws=true" alt="1" title="Саморез"&gt;</v>
      </c>
      <c r="M4" t="str">
        <f>IF(ISBLANK('Sh13'!A1),("&lt;/map&gt;&lt;/div&gt;"),("&lt;area shape="&amp;CHAR(34)&amp;"circle"&amp;CHAR(34)&amp;" target="&amp;CHAR(34)&amp;"_self"&amp;CHAR(34)&amp;" coords="&amp;CHAR(34)&amp;'Sh13'!B1&amp;","&amp;'Sh13'!C1&amp;","&amp;set!$A$2&amp;CHAR(34)&amp;" href="&amp;CHAR(34)&amp;set!$A$3&amp;'Sh13'!A1&amp;set!$A$4&amp;CHAR(34)&amp;" alt="&amp;CHAR(34)&amp;'Sh13'!E1&amp;CHAR(34)&amp;" title="&amp;CHAR(34)&amp;'Sh13'!D1&amp;CHAR(34)&amp;"&gt;"))</f>
        <v>&lt;area shape="circle" target="_self" coords="100,150,11" href="http://partsgowheel.ru/?s=21201TB000&amp;post_type=product&amp;type_aws=true" alt="1" title="Саморез"&gt;</v>
      </c>
      <c r="N4" t="str">
        <f>IF(ISBLANK('Sh14'!A1),("&lt;/map&gt;&lt;/div&gt;"),("&lt;area shape="&amp;CHAR(34)&amp;"circle"&amp;CHAR(34)&amp;" target="&amp;CHAR(34)&amp;"_self"&amp;CHAR(34)&amp;" coords="&amp;CHAR(34)&amp;'Sh14'!B1&amp;","&amp;'Sh14'!C1&amp;","&amp;set!$A$2&amp;CHAR(34)&amp;" href="&amp;CHAR(34)&amp;set!$A$3&amp;'Sh14'!A1&amp;set!$A$4&amp;CHAR(34)&amp;" alt="&amp;CHAR(34)&amp;'Sh14'!E1&amp;CHAR(34)&amp;" title="&amp;CHAR(34)&amp;'Sh14'!D1&amp;CHAR(34)&amp;"&gt;"))</f>
        <v>&lt;area shape="circle" target="_self" coords="100,150,11" href="http://partsgowheel.ru/?s=21201TB000&amp;post_type=product&amp;type_aws=true" alt="1" title="Саморез"&gt;</v>
      </c>
      <c r="O4" t="str">
        <f>IF(ISBLANK('Sh15'!A1),("&lt;/map&gt;&lt;/div&gt;"),("&lt;area shape="&amp;CHAR(34)&amp;"circle"&amp;CHAR(34)&amp;" target="&amp;CHAR(34)&amp;"_self"&amp;CHAR(34)&amp;" coords="&amp;CHAR(34)&amp;'Sh15'!B1&amp;","&amp;'Sh15'!C1&amp;","&amp;set!$A$2&amp;CHAR(34)&amp;" href="&amp;CHAR(34)&amp;set!$A$3&amp;'Sh15'!A1&amp;set!$A$4&amp;CHAR(34)&amp;" alt="&amp;CHAR(34)&amp;'Sh15'!E1&amp;CHAR(34)&amp;" title="&amp;CHAR(34)&amp;'Sh15'!D1&amp;CHAR(34)&amp;"&gt;"))</f>
        <v>&lt;area shape="circle" target="_self" coords="100,150,11" href="http://partsgowheel.ru/?s=21201TB000&amp;post_type=product&amp;type_aws=true" alt="1" title="Саморез"&gt;</v>
      </c>
      <c r="P4" t="str">
        <f>IF(ISBLANK('Sh16'!A1),("&lt;/map&gt;&lt;/div&gt;"),("&lt;area shape="&amp;CHAR(34)&amp;"circle"&amp;CHAR(34)&amp;" target="&amp;CHAR(34)&amp;"_self"&amp;CHAR(34)&amp;" coords="&amp;CHAR(34)&amp;'Sh16'!B1&amp;","&amp;'Sh16'!C1&amp;","&amp;set!$A$2&amp;CHAR(34)&amp;" href="&amp;CHAR(34)&amp;set!$A$3&amp;'Sh16'!A1&amp;set!$A$4&amp;CHAR(34)&amp;" alt="&amp;CHAR(34)&amp;'Sh16'!E1&amp;CHAR(34)&amp;" title="&amp;CHAR(34)&amp;'Sh16'!D1&amp;CHAR(34)&amp;"&gt;"))</f>
        <v>&lt;area shape="circle" target="_self" coords="100,150,11" href="http://partsgowheel.ru/?s=21201TB000&amp;post_type=product&amp;type_aws=true" alt="1" title="Саморез"&gt;</v>
      </c>
      <c r="Q4" t="str">
        <f>IF(ISBLANK('Sh17'!A1),("&lt;/map&gt;&lt;/div&gt;"),("&lt;area shape="&amp;CHAR(34)&amp;"circle"&amp;CHAR(34)&amp;" target="&amp;CHAR(34)&amp;"_self"&amp;CHAR(34)&amp;" coords="&amp;CHAR(34)&amp;'Sh17'!B1&amp;","&amp;'Sh17'!C1&amp;","&amp;set!$A$2&amp;CHAR(34)&amp;" href="&amp;CHAR(34)&amp;set!$A$3&amp;'Sh17'!A1&amp;set!$A$4&amp;CHAR(34)&amp;" alt="&amp;CHAR(34)&amp;'Sh17'!E1&amp;CHAR(34)&amp;" title="&amp;CHAR(34)&amp;'Sh17'!D1&amp;CHAR(34)&amp;"&gt;"))</f>
        <v>&lt;area shape="circle" target="_self" coords="100,150,11" href="http://partsgowheel.ru/?s=21201TB000&amp;post_type=product&amp;type_aws=true" alt="1" title="Саморез"&gt;</v>
      </c>
      <c r="R4" t="str">
        <f>IF(ISBLANK('Sh18'!A1),("&lt;/map&gt;&lt;/div&gt;"),("&lt;area shape="&amp;CHAR(34)&amp;"circle"&amp;CHAR(34)&amp;" target="&amp;CHAR(34)&amp;"_self"&amp;CHAR(34)&amp;" coords="&amp;CHAR(34)&amp;'Sh18'!B1&amp;","&amp;'Sh18'!C1&amp;","&amp;set!$A$2&amp;CHAR(34)&amp;" href="&amp;CHAR(34)&amp;set!$A$3&amp;'Sh18'!A1&amp;set!$A$4&amp;CHAR(34)&amp;" alt="&amp;CHAR(34)&amp;'Sh18'!E1&amp;CHAR(34)&amp;" title="&amp;CHAR(34)&amp;'Sh18'!D1&amp;CHAR(34)&amp;"&gt;"))</f>
        <v>&lt;area shape="circle" target="_self" coords="100,150,11" href="http://partsgowheel.ru/?s=21201TB000&amp;post_type=product&amp;type_aws=true" alt="1" title="Саморез"&gt;</v>
      </c>
      <c r="S4" t="str">
        <f>IF(ISBLANK('Sh19'!A1),("&lt;/map&gt;&lt;/div&gt;"),("&lt;area shape="&amp;CHAR(34)&amp;"circle"&amp;CHAR(34)&amp;" target="&amp;CHAR(34)&amp;"_self"&amp;CHAR(34)&amp;" coords="&amp;CHAR(34)&amp;'Sh19'!B1&amp;","&amp;'Sh19'!C1&amp;","&amp;set!$A$2&amp;CHAR(34)&amp;" href="&amp;CHAR(34)&amp;set!$A$3&amp;'Sh19'!A1&amp;set!$A$4&amp;CHAR(34)&amp;" alt="&amp;CHAR(34)&amp;'Sh19'!E1&amp;CHAR(34)&amp;" title="&amp;CHAR(34)&amp;'Sh19'!D1&amp;CHAR(34)&amp;"&gt;"))</f>
        <v>&lt;area shape="circle" target="_self" coords="100,150,11" href="http://partsgowheel.ru/?s=21201TB000&amp;post_type=product&amp;type_aws=true" alt="1" title="Саморез"&gt;</v>
      </c>
      <c r="T4" t="str">
        <f>IF(ISBLANK('Sh20'!A1),("&lt;/map&gt;&lt;/div&gt;"),("&lt;area shape="&amp;CHAR(34)&amp;"circle"&amp;CHAR(34)&amp;" target="&amp;CHAR(34)&amp;"_self"&amp;CHAR(34)&amp;" coords="&amp;CHAR(34)&amp;'Sh20'!B1&amp;","&amp;'Sh20'!C1&amp;","&amp;set!$A$2&amp;CHAR(34)&amp;" href="&amp;CHAR(34)&amp;set!$A$3&amp;'Sh20'!A1&amp;set!$A$4&amp;CHAR(34)&amp;" alt="&amp;CHAR(34)&amp;'Sh20'!E1&amp;CHAR(34)&amp;" title="&amp;CHAR(34)&amp;'Sh20'!D1&amp;CHAR(34)&amp;"&gt;"))</f>
        <v>&lt;area shape="circle" target="_self" coords="100,150,11" href="http://partsgowheel.ru/?s=21201TB000&amp;post_type=product&amp;type_aws=true" alt="1" title="Саморез"&gt;</v>
      </c>
      <c r="U4" t="str">
        <f>IF(ISBLANK('Sh21'!A1),("&lt;/map&gt;&lt;/div&gt;"),("&lt;area shape="&amp;CHAR(34)&amp;"circle"&amp;CHAR(34)&amp;" target="&amp;CHAR(34)&amp;"_self"&amp;CHAR(34)&amp;" coords="&amp;CHAR(34)&amp;'Sh21'!B1&amp;","&amp;'Sh21'!C1&amp;","&amp;set!$A$2&amp;CHAR(34)&amp;" href="&amp;CHAR(34)&amp;set!$A$3&amp;'Sh21'!A1&amp;set!$A$4&amp;CHAR(34)&amp;" alt="&amp;CHAR(34)&amp;'Sh21'!E1&amp;CHAR(34)&amp;" title="&amp;CHAR(34)&amp;'Sh21'!D1&amp;CHAR(34)&amp;"&gt;"))</f>
        <v>&lt;area shape="circle" target="_self" coords="100,150,11" href="http://partsgowheel.ru/?s=21201TB000&amp;post_type=product&amp;type_aws=true" alt="1" title="Саморез"&gt;</v>
      </c>
      <c r="V4" s="6" t="s">
        <v>99</v>
      </c>
      <c r="W4" s="6"/>
      <c r="X4" s="6" t="s">
        <v>75</v>
      </c>
    </row>
    <row r="5" spans="1:24" x14ac:dyDescent="0.25">
      <c r="A5" s="10" t="str">
        <f>IF(ISBLANK('Sh1'!A2),("&lt;/map&gt;&lt;/div&gt;"),("&lt;area shape="&amp;CHAR(34)&amp;"circle"&amp;CHAR(34)&amp;" target="&amp;CHAR(34)&amp;"_self"&amp;CHAR(34)&amp;" coords="&amp;CHAR(34)&amp;'Sh1'!B2&amp;","&amp;'Sh1'!C2&amp;","&amp;set!$A$2&amp;CHAR(34)&amp;" href="&amp;CHAR(34)&amp;set!$A$3&amp;'Sh1'!A2&amp;set!$A$4&amp;CHAR(34)&amp;" alt="&amp;CHAR(34)&amp;'Sh1'!E2&amp;CHAR(34)&amp;" title="&amp;CHAR(34)&amp;'Sh1'!D2&amp;CHAR(34)&amp;"&gt;"))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B5" s="10" t="str">
        <f>IF(ISBLANK('Sh2'!A2),("&lt;/map&gt;&lt;/div&gt;"),("&lt;area shape="&amp;CHAR(34)&amp;"circle"&amp;CHAR(34)&amp;" target="&amp;CHAR(34)&amp;"_self"&amp;CHAR(34)&amp;" coords="&amp;CHAR(34)&amp;'Sh2'!B2&amp;","&amp;'Sh2'!C2&amp;","&amp;set!$A$2&amp;CHAR(34)&amp;" href="&amp;CHAR(34)&amp;set!$A$3&amp;'Sh2'!A2&amp;set!$A$4&amp;CHAR(34)&amp;" alt="&amp;CHAR(34)&amp;'Sh2'!E2&amp;CHAR(34)&amp;" title="&amp;CHAR(34)&amp;'Sh2'!D2&amp;CHAR(34)&amp;"&gt;"))</f>
        <v>&lt;area shape="circle" target="_self" coords="900,950,11" href="http://partsgowheel.ru/?s=21209TB000&amp;post_type=product&amp;type_aws=true" alt="2" title="Сальник"&gt;</v>
      </c>
      <c r="C5" t="str">
        <f>IF(ISBLANK('Sh3'!A2),("&lt;/map&gt;&lt;/div&gt;"),("&lt;area shape="&amp;CHAR(34)&amp;"circle"&amp;CHAR(34)&amp;" target="&amp;CHAR(34)&amp;"_self"&amp;CHAR(34)&amp;" coords="&amp;CHAR(34)&amp;'Sh3'!B2&amp;","&amp;'Sh3'!C2&amp;","&amp;set!$A$2&amp;CHAR(34)&amp;" href="&amp;CHAR(34)&amp;set!$A$3&amp;'Sh3'!A2&amp;set!$A$4&amp;CHAR(34)&amp;" alt="&amp;CHAR(34)&amp;'Sh3'!E2&amp;CHAR(34)&amp;" title="&amp;CHAR(34)&amp;'Sh3'!D2&amp;CHAR(34)&amp;"&gt;"))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D5" t="str">
        <f>IF(ISBLANK('Sh4'!A2),("&lt;/map&gt;&lt;/div&gt;"),("&lt;area shape="&amp;CHAR(34)&amp;"circle"&amp;CHAR(34)&amp;" target="&amp;CHAR(34)&amp;"_self"&amp;CHAR(34)&amp;" coords="&amp;CHAR(34)&amp;'Sh4'!B2&amp;","&amp;'Sh4'!C2&amp;","&amp;set!$A$2&amp;CHAR(34)&amp;" href="&amp;CHAR(34)&amp;set!$A$3&amp;'Sh4'!A2&amp;set!$A$4&amp;CHAR(34)&amp;" alt="&amp;CHAR(34)&amp;'Sh4'!E2&amp;CHAR(34)&amp;" title="&amp;CHAR(34)&amp;'Sh4'!D2&amp;CHAR(34)&amp;"&gt;"))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E5" t="str">
        <f>IF(ISBLANK('Sh5'!A2),("&lt;/map&gt;&lt;/div&gt;"),("&lt;area shape="&amp;CHAR(34)&amp;"circle"&amp;CHAR(34)&amp;" target="&amp;CHAR(34)&amp;"_self"&amp;CHAR(34)&amp;" coords="&amp;CHAR(34)&amp;'Sh5'!B2&amp;","&amp;'Sh5'!C2&amp;","&amp;set!$A$2&amp;CHAR(34)&amp;" href="&amp;CHAR(34)&amp;set!$A$3&amp;'Sh5'!A2&amp;set!$A$4&amp;CHAR(34)&amp;" alt="&amp;CHAR(34)&amp;'Sh5'!E2&amp;CHAR(34)&amp;" title="&amp;CHAR(34)&amp;'Sh5'!D2&amp;CHAR(34)&amp;"&gt;"))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F5" t="str">
        <f>IF(ISBLANK('Sh6'!A2),("&lt;/map&gt;&lt;/div&gt;"),("&lt;area shape="&amp;CHAR(34)&amp;"circle"&amp;CHAR(34)&amp;" target="&amp;CHAR(34)&amp;"_self"&amp;CHAR(34)&amp;" coords="&amp;CHAR(34)&amp;'Sh6'!B2&amp;","&amp;'Sh6'!C2&amp;","&amp;set!$A$2&amp;CHAR(34)&amp;" href="&amp;CHAR(34)&amp;set!$A$3&amp;'Sh6'!A2&amp;set!$A$4&amp;CHAR(34)&amp;" alt="&amp;CHAR(34)&amp;'Sh6'!E2&amp;CHAR(34)&amp;" title="&amp;CHAR(34)&amp;'Sh6'!D2&amp;CHAR(34)&amp;"&gt;"))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G5" t="str">
        <f>IF(ISBLANK('Sh7'!A2),("&lt;/map&gt;&lt;/div&gt;"),("&lt;area shape="&amp;CHAR(34)&amp;"circle"&amp;CHAR(34)&amp;" target="&amp;CHAR(34)&amp;"_self"&amp;CHAR(34)&amp;" coords="&amp;CHAR(34)&amp;'Sh7'!B2&amp;","&amp;'Sh7'!C2&amp;","&amp;set!$A$2&amp;CHAR(34)&amp;" href="&amp;CHAR(34)&amp;set!$A$3&amp;'Sh7'!A2&amp;set!$A$4&amp;CHAR(34)&amp;" alt="&amp;CHAR(34)&amp;'Sh7'!E2&amp;CHAR(34)&amp;" title="&amp;CHAR(34)&amp;'Sh7'!D2&amp;CHAR(34)&amp;"&gt;"))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H5" t="str">
        <f>IF(ISBLANK('Sh8'!A2),("&lt;/map&gt;&lt;/div&gt;"),("&lt;area shape="&amp;CHAR(34)&amp;"circle"&amp;CHAR(34)&amp;" target="&amp;CHAR(34)&amp;"_self"&amp;CHAR(34)&amp;" coords="&amp;CHAR(34)&amp;'Sh8'!B2&amp;","&amp;'Sh8'!C2&amp;","&amp;set!$A$2&amp;CHAR(34)&amp;" href="&amp;CHAR(34)&amp;set!$A$3&amp;'Sh8'!A2&amp;set!$A$4&amp;CHAR(34)&amp;" alt="&amp;CHAR(34)&amp;'Sh8'!E2&amp;CHAR(34)&amp;" title="&amp;CHAR(34)&amp;'Sh8'!D2&amp;CHAR(34)&amp;"&gt;"))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I5" t="str">
        <f>IF(ISBLANK('Sh9'!A2),("&lt;/map&gt;&lt;/div&gt;"),("&lt;area shape="&amp;CHAR(34)&amp;"circle"&amp;CHAR(34)&amp;" target="&amp;CHAR(34)&amp;"_self"&amp;CHAR(34)&amp;" coords="&amp;CHAR(34)&amp;'Sh9'!B2&amp;","&amp;'Sh9'!C2&amp;","&amp;set!$A$2&amp;CHAR(34)&amp;" href="&amp;CHAR(34)&amp;set!$A$3&amp;'Sh9'!A2&amp;set!$A$4&amp;CHAR(34)&amp;" alt="&amp;CHAR(34)&amp;'Sh9'!E2&amp;CHAR(34)&amp;" title="&amp;CHAR(34)&amp;'Sh9'!D2&amp;CHAR(34)&amp;"&gt;"))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J5" t="str">
        <f>IF(ISBLANK('Sh10'!A2),("&lt;/map&gt;&lt;/div&gt;"),("&lt;area shape="&amp;CHAR(34)&amp;"circle"&amp;CHAR(34)&amp;" target="&amp;CHAR(34)&amp;"_self"&amp;CHAR(34)&amp;" coords="&amp;CHAR(34)&amp;'Sh10'!B2&amp;","&amp;'Sh10'!C2&amp;","&amp;set!$A$2&amp;CHAR(34)&amp;" href="&amp;CHAR(34)&amp;set!$A$3&amp;'Sh10'!A2&amp;set!$A$4&amp;CHAR(34)&amp;" alt="&amp;CHAR(34)&amp;'Sh10'!E2&amp;CHAR(34)&amp;" title="&amp;CHAR(34)&amp;'Sh10'!D2&amp;CHAR(34)&amp;"&gt;"))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K5" t="str">
        <f>IF(ISBLANK('Sh11'!A2),("&lt;/map&gt;&lt;/div&gt;"),("&lt;area shape="&amp;CHAR(34)&amp;"circle"&amp;CHAR(34)&amp;" target="&amp;CHAR(34)&amp;"_self"&amp;CHAR(34)&amp;" coords="&amp;CHAR(34)&amp;'Sh11'!B2&amp;","&amp;'Sh11'!C2&amp;","&amp;set!$A$2&amp;CHAR(34)&amp;" href="&amp;CHAR(34)&amp;set!$A$3&amp;'Sh11'!A2&amp;set!$A$4&amp;CHAR(34)&amp;" alt="&amp;CHAR(34)&amp;'Sh11'!E2&amp;CHAR(34)&amp;" title="&amp;CHAR(34)&amp;'Sh11'!D2&amp;CHAR(34)&amp;"&gt;"))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L5" t="str">
        <f>IF(ISBLANK('Sh12'!A2),("&lt;/map&gt;&lt;/div&gt;"),("&lt;area shape="&amp;CHAR(34)&amp;"circle"&amp;CHAR(34)&amp;" target="&amp;CHAR(34)&amp;"_self"&amp;CHAR(34)&amp;" coords="&amp;CHAR(34)&amp;'Sh12'!B2&amp;","&amp;'Sh12'!C2&amp;","&amp;set!$A$2&amp;CHAR(34)&amp;" href="&amp;CHAR(34)&amp;set!$A$3&amp;'Sh12'!A2&amp;set!$A$4&amp;CHAR(34)&amp;" alt="&amp;CHAR(34)&amp;'Sh12'!E2&amp;CHAR(34)&amp;" title="&amp;CHAR(34)&amp;'Sh12'!D2&amp;CHAR(34)&amp;"&gt;"))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M5" t="str">
        <f>IF(ISBLANK('Sh13'!A2),("&lt;/map&gt;&lt;/div&gt;"),("&lt;area shape="&amp;CHAR(34)&amp;"circle"&amp;CHAR(34)&amp;" target="&amp;CHAR(34)&amp;"_self"&amp;CHAR(34)&amp;" coords="&amp;CHAR(34)&amp;'Sh13'!B2&amp;","&amp;'Sh13'!C2&amp;","&amp;set!$A$2&amp;CHAR(34)&amp;" href="&amp;CHAR(34)&amp;set!$A$3&amp;'Sh13'!A2&amp;set!$A$4&amp;CHAR(34)&amp;" alt="&amp;CHAR(34)&amp;'Sh13'!E2&amp;CHAR(34)&amp;" title="&amp;CHAR(34)&amp;'Sh13'!D2&amp;CHAR(34)&amp;"&gt;"))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N5" t="str">
        <f>IF(ISBLANK('Sh14'!A2),("&lt;/map&gt;&lt;/div&gt;"),("&lt;area shape="&amp;CHAR(34)&amp;"circle"&amp;CHAR(34)&amp;" target="&amp;CHAR(34)&amp;"_self"&amp;CHAR(34)&amp;" coords="&amp;CHAR(34)&amp;'Sh14'!B2&amp;","&amp;'Sh14'!C2&amp;","&amp;set!$A$2&amp;CHAR(34)&amp;" href="&amp;CHAR(34)&amp;set!$A$3&amp;'Sh14'!A2&amp;set!$A$4&amp;CHAR(34)&amp;" alt="&amp;CHAR(34)&amp;'Sh14'!E2&amp;CHAR(34)&amp;" title="&amp;CHAR(34)&amp;'Sh14'!D2&amp;CHAR(34)&amp;"&gt;"))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O5" t="str">
        <f>IF(ISBLANK('Sh15'!A2),("&lt;/map&gt;&lt;/div&gt;"),("&lt;area shape="&amp;CHAR(34)&amp;"circle"&amp;CHAR(34)&amp;" target="&amp;CHAR(34)&amp;"_self"&amp;CHAR(34)&amp;" coords="&amp;CHAR(34)&amp;'Sh15'!B2&amp;","&amp;'Sh15'!C2&amp;","&amp;set!$A$2&amp;CHAR(34)&amp;" href="&amp;CHAR(34)&amp;set!$A$3&amp;'Sh15'!A2&amp;set!$A$4&amp;CHAR(34)&amp;" alt="&amp;CHAR(34)&amp;'Sh15'!E2&amp;CHAR(34)&amp;" title="&amp;CHAR(34)&amp;'Sh15'!D2&amp;CHAR(34)&amp;"&gt;"))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P5" t="str">
        <f>IF(ISBLANK('Sh16'!A2),("&lt;/map&gt;&lt;/div&gt;"),("&lt;area shape="&amp;CHAR(34)&amp;"circle"&amp;CHAR(34)&amp;" target="&amp;CHAR(34)&amp;"_self"&amp;CHAR(34)&amp;" coords="&amp;CHAR(34)&amp;'Sh16'!B2&amp;","&amp;'Sh16'!C2&amp;","&amp;set!$A$2&amp;CHAR(34)&amp;" href="&amp;CHAR(34)&amp;set!$A$3&amp;'Sh16'!A2&amp;set!$A$4&amp;CHAR(34)&amp;" alt="&amp;CHAR(34)&amp;'Sh16'!E2&amp;CHAR(34)&amp;" title="&amp;CHAR(34)&amp;'Sh16'!D2&amp;CHAR(34)&amp;"&gt;"))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Q5" t="str">
        <f>IF(ISBLANK('Sh17'!A2),("&lt;/map&gt;&lt;/div&gt;"),("&lt;area shape="&amp;CHAR(34)&amp;"circle"&amp;CHAR(34)&amp;" target="&amp;CHAR(34)&amp;"_self"&amp;CHAR(34)&amp;" coords="&amp;CHAR(34)&amp;'Sh17'!B2&amp;","&amp;'Sh17'!C2&amp;","&amp;set!$A$2&amp;CHAR(34)&amp;" href="&amp;CHAR(34)&amp;set!$A$3&amp;'Sh17'!A2&amp;set!$A$4&amp;CHAR(34)&amp;" alt="&amp;CHAR(34)&amp;'Sh17'!E2&amp;CHAR(34)&amp;" title="&amp;CHAR(34)&amp;'Sh17'!D2&amp;CHAR(34)&amp;"&gt;"))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R5" t="str">
        <f>IF(ISBLANK('Sh18'!A2),("&lt;/map&gt;&lt;/div&gt;"),("&lt;area shape="&amp;CHAR(34)&amp;"circle"&amp;CHAR(34)&amp;" target="&amp;CHAR(34)&amp;"_self"&amp;CHAR(34)&amp;" coords="&amp;CHAR(34)&amp;'Sh18'!B2&amp;","&amp;'Sh18'!C2&amp;","&amp;set!$A$2&amp;CHAR(34)&amp;" href="&amp;CHAR(34)&amp;set!$A$3&amp;'Sh18'!A2&amp;set!$A$4&amp;CHAR(34)&amp;" alt="&amp;CHAR(34)&amp;'Sh18'!E2&amp;CHAR(34)&amp;" title="&amp;CHAR(34)&amp;'Sh18'!D2&amp;CHAR(34)&amp;"&gt;"))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S5" t="str">
        <f>IF(ISBLANK('Sh19'!A2),("&lt;/map&gt;&lt;/div&gt;"),("&lt;area shape="&amp;CHAR(34)&amp;"circle"&amp;CHAR(34)&amp;" target="&amp;CHAR(34)&amp;"_self"&amp;CHAR(34)&amp;" coords="&amp;CHAR(34)&amp;'Sh19'!B2&amp;","&amp;'Sh19'!C2&amp;","&amp;set!$A$2&amp;CHAR(34)&amp;" href="&amp;CHAR(34)&amp;set!$A$3&amp;'Sh19'!A2&amp;set!$A$4&amp;CHAR(34)&amp;" alt="&amp;CHAR(34)&amp;'Sh19'!E2&amp;CHAR(34)&amp;" title="&amp;CHAR(34)&amp;'Sh19'!D2&amp;CHAR(34)&amp;"&gt;"))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T5" t="str">
        <f>IF(ISBLANK('Sh20'!A2),("&lt;/map&gt;&lt;/div&gt;"),("&lt;area shape="&amp;CHAR(34)&amp;"circle"&amp;CHAR(34)&amp;" target="&amp;CHAR(34)&amp;"_self"&amp;CHAR(34)&amp;" coords="&amp;CHAR(34)&amp;'Sh20'!B2&amp;","&amp;'Sh20'!C2&amp;","&amp;set!$A$2&amp;CHAR(34)&amp;" href="&amp;CHAR(34)&amp;set!$A$3&amp;'Sh20'!A2&amp;set!$A$4&amp;CHAR(34)&amp;" alt="&amp;CHAR(34)&amp;'Sh20'!E2&amp;CHAR(34)&amp;" title="&amp;CHAR(34)&amp;'Sh20'!D2&amp;CHAR(34)&amp;"&gt;"))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U5" t="str">
        <f>IF(ISBLANK('Sh21'!A2),("&lt;/map&gt;&lt;/div&gt;"),("&lt;area shape="&amp;CHAR(34)&amp;"circle"&amp;CHAR(34)&amp;" target="&amp;CHAR(34)&amp;"_self"&amp;CHAR(34)&amp;" coords="&amp;CHAR(34)&amp;'Sh21'!B2&amp;","&amp;'Sh21'!C2&amp;","&amp;set!$A$2&amp;CHAR(34)&amp;" href="&amp;CHAR(34)&amp;set!$A$3&amp;'Sh21'!A2&amp;set!$A$4&amp;CHAR(34)&amp;" alt="&amp;CHAR(34)&amp;'Sh21'!E2&amp;CHAR(34)&amp;" title="&amp;CHAR(34)&amp;'Sh21'!D2&amp;CHAR(34)&amp;"&gt;"))</f>
        <v>&lt;area shape="circle" target="_self" coords="200,250,11" href="http://partsgowheel.ru/?s=21202TB000&amp;post_type=product&amp;type_aws=true" alt="2" title="Крышка дисплея защитная"&gt;</v>
      </c>
      <c r="V5" s="6" t="s">
        <v>80</v>
      </c>
      <c r="W5" s="6"/>
      <c r="X5" s="6" t="s">
        <v>76</v>
      </c>
    </row>
    <row r="6" spans="1:24" x14ac:dyDescent="0.25">
      <c r="A6" s="10" t="str">
        <f>IF(ISBLANK('Sh1'!A3),("&lt;/map&gt;&lt;/div&gt;"),("&lt;area shape="&amp;CHAR(34)&amp;"circle"&amp;CHAR(34)&amp;" target="&amp;CHAR(34)&amp;"_self"&amp;CHAR(34)&amp;" coords="&amp;CHAR(34)&amp;'Sh1'!B3&amp;","&amp;'Sh1'!C3&amp;","&amp;set!$A$2&amp;CHAR(34)&amp;" href="&amp;CHAR(34)&amp;set!$A$3&amp;'Sh1'!A3&amp;set!$A$4&amp;CHAR(34)&amp;" alt="&amp;CHAR(34)&amp;'Sh1'!E3&amp;CHAR(34)&amp;" title="&amp;CHAR(34)&amp;'Sh1'!D3&amp;CHAR(34)&amp;"&gt;"))</f>
        <v>&lt;area shape="circle" target="_self" coords="300,350,11" href="http://partsgowheel.ru/?s=21203TB000&amp;post_type=product&amp;type_aws=true" alt="3" title="Защита кнопок дисплея"&gt;</v>
      </c>
      <c r="B6" s="10" t="str">
        <f>IF(ISBLANK('Sh2'!A3),("&lt;/map&gt;&lt;/div&gt;"),("&lt;area shape="&amp;CHAR(34)&amp;"circle"&amp;CHAR(34)&amp;" target="&amp;CHAR(34)&amp;"_self"&amp;CHAR(34)&amp;" coords="&amp;CHAR(34)&amp;'Sh2'!B3&amp;","&amp;'Sh2'!C3&amp;","&amp;set!$A$2&amp;CHAR(34)&amp;" href="&amp;CHAR(34)&amp;set!$A$3&amp;'Sh2'!A3&amp;set!$A$4&amp;CHAR(34)&amp;" alt="&amp;CHAR(34)&amp;'Sh2'!E3&amp;CHAR(34)&amp;" title="&amp;CHAR(34)&amp;'Sh2'!D3&amp;CHAR(34)&amp;"&gt;"))</f>
        <v>&lt;area shape="circle" target="_self" coords="1000,1050,11" href="http://partsgowheel.ru/?s=21210TB000&amp;post_type=product&amp;type_aws=true" alt="3" title="Рычаг"&gt;</v>
      </c>
      <c r="C6" t="str">
        <f>IF(ISBLANK('Sh3'!A3),("&lt;/map&gt;&lt;/div&gt;"),("&lt;area shape="&amp;CHAR(34)&amp;"circle"&amp;CHAR(34)&amp;" target="&amp;CHAR(34)&amp;"_self"&amp;CHAR(34)&amp;" coords="&amp;CHAR(34)&amp;'Sh3'!B3&amp;","&amp;'Sh3'!C3&amp;","&amp;set!$A$2&amp;CHAR(34)&amp;" href="&amp;CHAR(34)&amp;set!$A$3&amp;'Sh3'!A3&amp;set!$A$4&amp;CHAR(34)&amp;" alt="&amp;CHAR(34)&amp;'Sh3'!E3&amp;CHAR(34)&amp;" title="&amp;CHAR(34)&amp;'Sh3'!D3&amp;CHAR(34)&amp;"&gt;"))</f>
        <v>&lt;area shape="circle" target="_self" coords="300,350,11" href="http://partsgowheel.ru/?s=21203TB000&amp;post_type=product&amp;type_aws=true" alt="3" title="Защита кнопок дисплея"&gt;</v>
      </c>
      <c r="D6" t="str">
        <f>IF(ISBLANK('Sh4'!A3),("&lt;/map&gt;&lt;/div&gt;"),("&lt;area shape="&amp;CHAR(34)&amp;"circle"&amp;CHAR(34)&amp;" target="&amp;CHAR(34)&amp;"_self"&amp;CHAR(34)&amp;" coords="&amp;CHAR(34)&amp;'Sh4'!B3&amp;","&amp;'Sh4'!C3&amp;","&amp;set!$A$2&amp;CHAR(34)&amp;" href="&amp;CHAR(34)&amp;set!$A$3&amp;'Sh4'!A3&amp;set!$A$4&amp;CHAR(34)&amp;" alt="&amp;CHAR(34)&amp;'Sh4'!E3&amp;CHAR(34)&amp;" title="&amp;CHAR(34)&amp;'Sh4'!D3&amp;CHAR(34)&amp;"&gt;"))</f>
        <v>&lt;area shape="circle" target="_self" coords="300,350,11" href="http://partsgowheel.ru/?s=21203TB000&amp;post_type=product&amp;type_aws=true" alt="3" title="Защита кнопок дисплея"&gt;</v>
      </c>
      <c r="E6" t="str">
        <f>IF(ISBLANK('Sh5'!A3),("&lt;/map&gt;&lt;/div&gt;"),("&lt;area shape="&amp;CHAR(34)&amp;"circle"&amp;CHAR(34)&amp;" target="&amp;CHAR(34)&amp;"_self"&amp;CHAR(34)&amp;" coords="&amp;CHAR(34)&amp;'Sh5'!B3&amp;","&amp;'Sh5'!C3&amp;","&amp;set!$A$2&amp;CHAR(34)&amp;" href="&amp;CHAR(34)&amp;set!$A$3&amp;'Sh5'!A3&amp;set!$A$4&amp;CHAR(34)&amp;" alt="&amp;CHAR(34)&amp;'Sh5'!E3&amp;CHAR(34)&amp;" title="&amp;CHAR(34)&amp;'Sh5'!D3&amp;CHAR(34)&amp;"&gt;"))</f>
        <v>&lt;area shape="circle" target="_self" coords="300,350,11" href="http://partsgowheel.ru/?s=21203TB000&amp;post_type=product&amp;type_aws=true" alt="3" title="Защита кнопок дисплея"&gt;</v>
      </c>
      <c r="F6" t="str">
        <f>IF(ISBLANK('Sh6'!A3),("&lt;/map&gt;&lt;/div&gt;"),("&lt;area shape="&amp;CHAR(34)&amp;"circle"&amp;CHAR(34)&amp;" target="&amp;CHAR(34)&amp;"_self"&amp;CHAR(34)&amp;" coords="&amp;CHAR(34)&amp;'Sh6'!B3&amp;","&amp;'Sh6'!C3&amp;","&amp;set!$A$2&amp;CHAR(34)&amp;" href="&amp;CHAR(34)&amp;set!$A$3&amp;'Sh6'!A3&amp;set!$A$4&amp;CHAR(34)&amp;" alt="&amp;CHAR(34)&amp;'Sh6'!E3&amp;CHAR(34)&amp;" title="&amp;CHAR(34)&amp;'Sh6'!D3&amp;CHAR(34)&amp;"&gt;"))</f>
        <v>&lt;area shape="circle" target="_self" coords="300,350,11" href="http://partsgowheel.ru/?s=21203TB000&amp;post_type=product&amp;type_aws=true" alt="3" title="Защита кнопок дисплея"&gt;</v>
      </c>
      <c r="G6" t="str">
        <f>IF(ISBLANK('Sh7'!A3),("&lt;/map&gt;&lt;/div&gt;"),("&lt;area shape="&amp;CHAR(34)&amp;"circle"&amp;CHAR(34)&amp;" target="&amp;CHAR(34)&amp;"_self"&amp;CHAR(34)&amp;" coords="&amp;CHAR(34)&amp;'Sh7'!B3&amp;","&amp;'Sh7'!C3&amp;","&amp;set!$A$2&amp;CHAR(34)&amp;" href="&amp;CHAR(34)&amp;set!$A$3&amp;'Sh7'!A3&amp;set!$A$4&amp;CHAR(34)&amp;" alt="&amp;CHAR(34)&amp;'Sh7'!E3&amp;CHAR(34)&amp;" title="&amp;CHAR(34)&amp;'Sh7'!D3&amp;CHAR(34)&amp;"&gt;"))</f>
        <v>&lt;area shape="circle" target="_self" coords="300,350,11" href="http://partsgowheel.ru/?s=21203TB000&amp;post_type=product&amp;type_aws=true" alt="3" title="Защита кнопок дисплея"&gt;</v>
      </c>
      <c r="H6" t="str">
        <f>IF(ISBLANK('Sh8'!A3),("&lt;/map&gt;&lt;/div&gt;"),("&lt;area shape="&amp;CHAR(34)&amp;"circle"&amp;CHAR(34)&amp;" target="&amp;CHAR(34)&amp;"_self"&amp;CHAR(34)&amp;" coords="&amp;CHAR(34)&amp;'Sh8'!B3&amp;","&amp;'Sh8'!C3&amp;","&amp;set!$A$2&amp;CHAR(34)&amp;" href="&amp;CHAR(34)&amp;set!$A$3&amp;'Sh8'!A3&amp;set!$A$4&amp;CHAR(34)&amp;" alt="&amp;CHAR(34)&amp;'Sh8'!E3&amp;CHAR(34)&amp;" title="&amp;CHAR(34)&amp;'Sh8'!D3&amp;CHAR(34)&amp;"&gt;"))</f>
        <v>&lt;area shape="circle" target="_self" coords="300,350,11" href="http://partsgowheel.ru/?s=21203TB000&amp;post_type=product&amp;type_aws=true" alt="3" title="Защита кнопок дисплея"&gt;</v>
      </c>
      <c r="I6" t="str">
        <f>IF(ISBLANK('Sh9'!A3),("&lt;/map&gt;&lt;/div&gt;"),("&lt;area shape="&amp;CHAR(34)&amp;"circle"&amp;CHAR(34)&amp;" target="&amp;CHAR(34)&amp;"_self"&amp;CHAR(34)&amp;" coords="&amp;CHAR(34)&amp;'Sh9'!B3&amp;","&amp;'Sh9'!C3&amp;","&amp;set!$A$2&amp;CHAR(34)&amp;" href="&amp;CHAR(34)&amp;set!$A$3&amp;'Sh9'!A3&amp;set!$A$4&amp;CHAR(34)&amp;" alt="&amp;CHAR(34)&amp;'Sh9'!E3&amp;CHAR(34)&amp;" title="&amp;CHAR(34)&amp;'Sh9'!D3&amp;CHAR(34)&amp;"&gt;"))</f>
        <v>&lt;area shape="circle" target="_self" coords="300,350,11" href="http://partsgowheel.ru/?s=21203TB000&amp;post_type=product&amp;type_aws=true" alt="3" title="Защита кнопок дисплея"&gt;</v>
      </c>
      <c r="J6" t="str">
        <f>IF(ISBLANK('Sh10'!A3),("&lt;/map&gt;&lt;/div&gt;"),("&lt;area shape="&amp;CHAR(34)&amp;"circle"&amp;CHAR(34)&amp;" target="&amp;CHAR(34)&amp;"_self"&amp;CHAR(34)&amp;" coords="&amp;CHAR(34)&amp;'Sh10'!B3&amp;","&amp;'Sh10'!C3&amp;","&amp;set!$A$2&amp;CHAR(34)&amp;" href="&amp;CHAR(34)&amp;set!$A$3&amp;'Sh10'!A3&amp;set!$A$4&amp;CHAR(34)&amp;" alt="&amp;CHAR(34)&amp;'Sh10'!E3&amp;CHAR(34)&amp;" title="&amp;CHAR(34)&amp;'Sh10'!D3&amp;CHAR(34)&amp;"&gt;"))</f>
        <v>&lt;area shape="circle" target="_self" coords="300,350,11" href="http://partsgowheel.ru/?s=21203TB000&amp;post_type=product&amp;type_aws=true" alt="3" title="Защита кнопок дисплея"&gt;</v>
      </c>
      <c r="K6" t="str">
        <f>IF(ISBLANK('Sh11'!A3),("&lt;/map&gt;&lt;/div&gt;"),("&lt;area shape="&amp;CHAR(34)&amp;"circle"&amp;CHAR(34)&amp;" target="&amp;CHAR(34)&amp;"_self"&amp;CHAR(34)&amp;" coords="&amp;CHAR(34)&amp;'Sh11'!B3&amp;","&amp;'Sh11'!C3&amp;","&amp;set!$A$2&amp;CHAR(34)&amp;" href="&amp;CHAR(34)&amp;set!$A$3&amp;'Sh11'!A3&amp;set!$A$4&amp;CHAR(34)&amp;" alt="&amp;CHAR(34)&amp;'Sh11'!E3&amp;CHAR(34)&amp;" title="&amp;CHAR(34)&amp;'Sh11'!D3&amp;CHAR(34)&amp;"&gt;"))</f>
        <v>&lt;area shape="circle" target="_self" coords="300,350,11" href="http://partsgowheel.ru/?s=21203TB000&amp;post_type=product&amp;type_aws=true" alt="3" title="Защита кнопок дисплея"&gt;</v>
      </c>
      <c r="L6" t="str">
        <f>IF(ISBLANK('Sh12'!A3),("&lt;/map&gt;&lt;/div&gt;"),("&lt;area shape="&amp;CHAR(34)&amp;"circle"&amp;CHAR(34)&amp;" target="&amp;CHAR(34)&amp;"_self"&amp;CHAR(34)&amp;" coords="&amp;CHAR(34)&amp;'Sh12'!B3&amp;","&amp;'Sh12'!C3&amp;","&amp;set!$A$2&amp;CHAR(34)&amp;" href="&amp;CHAR(34)&amp;set!$A$3&amp;'Sh12'!A3&amp;set!$A$4&amp;CHAR(34)&amp;" alt="&amp;CHAR(34)&amp;'Sh12'!E3&amp;CHAR(34)&amp;" title="&amp;CHAR(34)&amp;'Sh12'!D3&amp;CHAR(34)&amp;"&gt;"))</f>
        <v>&lt;area shape="circle" target="_self" coords="300,350,11" href="http://partsgowheel.ru/?s=21203TB000&amp;post_type=product&amp;type_aws=true" alt="3" title="Защита кнопок дисплея"&gt;</v>
      </c>
      <c r="M6" t="str">
        <f>IF(ISBLANK('Sh13'!A3),("&lt;/map&gt;&lt;/div&gt;"),("&lt;area shape="&amp;CHAR(34)&amp;"circle"&amp;CHAR(34)&amp;" target="&amp;CHAR(34)&amp;"_self"&amp;CHAR(34)&amp;" coords="&amp;CHAR(34)&amp;'Sh13'!B3&amp;","&amp;'Sh13'!C3&amp;","&amp;set!$A$2&amp;CHAR(34)&amp;" href="&amp;CHAR(34)&amp;set!$A$3&amp;'Sh13'!A3&amp;set!$A$4&amp;CHAR(34)&amp;" alt="&amp;CHAR(34)&amp;'Sh13'!E3&amp;CHAR(34)&amp;" title="&amp;CHAR(34)&amp;'Sh13'!D3&amp;CHAR(34)&amp;"&gt;"))</f>
        <v>&lt;area shape="circle" target="_self" coords="300,350,11" href="http://partsgowheel.ru/?s=21203TB000&amp;post_type=product&amp;type_aws=true" alt="3" title="Защита кнопок дисплея"&gt;</v>
      </c>
      <c r="N6" t="str">
        <f>IF(ISBLANK('Sh14'!A3),("&lt;/map&gt;&lt;/div&gt;"),("&lt;area shape="&amp;CHAR(34)&amp;"circle"&amp;CHAR(34)&amp;" target="&amp;CHAR(34)&amp;"_self"&amp;CHAR(34)&amp;" coords="&amp;CHAR(34)&amp;'Sh14'!B3&amp;","&amp;'Sh14'!C3&amp;","&amp;set!$A$2&amp;CHAR(34)&amp;" href="&amp;CHAR(34)&amp;set!$A$3&amp;'Sh14'!A3&amp;set!$A$4&amp;CHAR(34)&amp;" alt="&amp;CHAR(34)&amp;'Sh14'!E3&amp;CHAR(34)&amp;" title="&amp;CHAR(34)&amp;'Sh14'!D3&amp;CHAR(34)&amp;"&gt;"))</f>
        <v>&lt;area shape="circle" target="_self" coords="300,350,11" href="http://partsgowheel.ru/?s=21203TB000&amp;post_type=product&amp;type_aws=true" alt="3" title="Защита кнопок дисплея"&gt;</v>
      </c>
      <c r="O6" t="str">
        <f>IF(ISBLANK('Sh15'!A3),("&lt;/map&gt;&lt;/div&gt;"),("&lt;area shape="&amp;CHAR(34)&amp;"circle"&amp;CHAR(34)&amp;" target="&amp;CHAR(34)&amp;"_self"&amp;CHAR(34)&amp;" coords="&amp;CHAR(34)&amp;'Sh15'!B3&amp;","&amp;'Sh15'!C3&amp;","&amp;set!$A$2&amp;CHAR(34)&amp;" href="&amp;CHAR(34)&amp;set!$A$3&amp;'Sh15'!A3&amp;set!$A$4&amp;CHAR(34)&amp;" alt="&amp;CHAR(34)&amp;'Sh15'!E3&amp;CHAR(34)&amp;" title="&amp;CHAR(34)&amp;'Sh15'!D3&amp;CHAR(34)&amp;"&gt;"))</f>
        <v>&lt;area shape="circle" target="_self" coords="300,350,11" href="http://partsgowheel.ru/?s=21203TB000&amp;post_type=product&amp;type_aws=true" alt="3" title="Защита кнопок дисплея"&gt;</v>
      </c>
      <c r="P6" t="str">
        <f>IF(ISBLANK('Sh16'!A3),("&lt;/map&gt;&lt;/div&gt;"),("&lt;area shape="&amp;CHAR(34)&amp;"circle"&amp;CHAR(34)&amp;" target="&amp;CHAR(34)&amp;"_self"&amp;CHAR(34)&amp;" coords="&amp;CHAR(34)&amp;'Sh16'!B3&amp;","&amp;'Sh16'!C3&amp;","&amp;set!$A$2&amp;CHAR(34)&amp;" href="&amp;CHAR(34)&amp;set!$A$3&amp;'Sh16'!A3&amp;set!$A$4&amp;CHAR(34)&amp;" alt="&amp;CHAR(34)&amp;'Sh16'!E3&amp;CHAR(34)&amp;" title="&amp;CHAR(34)&amp;'Sh16'!D3&amp;CHAR(34)&amp;"&gt;"))</f>
        <v>&lt;area shape="circle" target="_self" coords="300,350,11" href="http://partsgowheel.ru/?s=21203TB000&amp;post_type=product&amp;type_aws=true" alt="3" title="Защита кнопок дисплея"&gt;</v>
      </c>
      <c r="Q6" t="str">
        <f>IF(ISBLANK('Sh17'!A3),("&lt;/map&gt;&lt;/div&gt;"),("&lt;area shape="&amp;CHAR(34)&amp;"circle"&amp;CHAR(34)&amp;" target="&amp;CHAR(34)&amp;"_self"&amp;CHAR(34)&amp;" coords="&amp;CHAR(34)&amp;'Sh17'!B3&amp;","&amp;'Sh17'!C3&amp;","&amp;set!$A$2&amp;CHAR(34)&amp;" href="&amp;CHAR(34)&amp;set!$A$3&amp;'Sh17'!A3&amp;set!$A$4&amp;CHAR(34)&amp;" alt="&amp;CHAR(34)&amp;'Sh17'!E3&amp;CHAR(34)&amp;" title="&amp;CHAR(34)&amp;'Sh17'!D3&amp;CHAR(34)&amp;"&gt;"))</f>
        <v>&lt;area shape="circle" target="_self" coords="300,350,11" href="http://partsgowheel.ru/?s=21203TB000&amp;post_type=product&amp;type_aws=true" alt="3" title="Защита кнопок дисплея"&gt;</v>
      </c>
      <c r="R6" t="str">
        <f>IF(ISBLANK('Sh18'!A3),("&lt;/map&gt;&lt;/div&gt;"),("&lt;area shape="&amp;CHAR(34)&amp;"circle"&amp;CHAR(34)&amp;" target="&amp;CHAR(34)&amp;"_self"&amp;CHAR(34)&amp;" coords="&amp;CHAR(34)&amp;'Sh18'!B3&amp;","&amp;'Sh18'!C3&amp;","&amp;set!$A$2&amp;CHAR(34)&amp;" href="&amp;CHAR(34)&amp;set!$A$3&amp;'Sh18'!A3&amp;set!$A$4&amp;CHAR(34)&amp;" alt="&amp;CHAR(34)&amp;'Sh18'!E3&amp;CHAR(34)&amp;" title="&amp;CHAR(34)&amp;'Sh18'!D3&amp;CHAR(34)&amp;"&gt;"))</f>
        <v>&lt;area shape="circle" target="_self" coords="300,350,11" href="http://partsgowheel.ru/?s=21203TB000&amp;post_type=product&amp;type_aws=true" alt="3" title="Защита кнопок дисплея"&gt;</v>
      </c>
      <c r="S6" t="str">
        <f>IF(ISBLANK('Sh19'!A3),("&lt;/map&gt;&lt;/div&gt;"),("&lt;area shape="&amp;CHAR(34)&amp;"circle"&amp;CHAR(34)&amp;" target="&amp;CHAR(34)&amp;"_self"&amp;CHAR(34)&amp;" coords="&amp;CHAR(34)&amp;'Sh19'!B3&amp;","&amp;'Sh19'!C3&amp;","&amp;set!$A$2&amp;CHAR(34)&amp;" href="&amp;CHAR(34)&amp;set!$A$3&amp;'Sh19'!A3&amp;set!$A$4&amp;CHAR(34)&amp;" alt="&amp;CHAR(34)&amp;'Sh19'!E3&amp;CHAR(34)&amp;" title="&amp;CHAR(34)&amp;'Sh19'!D3&amp;CHAR(34)&amp;"&gt;"))</f>
        <v>&lt;area shape="circle" target="_self" coords="300,350,11" href="http://partsgowheel.ru/?s=21203TB000&amp;post_type=product&amp;type_aws=true" alt="3" title="Защита кнопок дисплея"&gt;</v>
      </c>
      <c r="T6" t="str">
        <f>IF(ISBLANK('Sh20'!A3),("&lt;/map&gt;&lt;/div&gt;"),("&lt;area shape="&amp;CHAR(34)&amp;"circle"&amp;CHAR(34)&amp;" target="&amp;CHAR(34)&amp;"_self"&amp;CHAR(34)&amp;" coords="&amp;CHAR(34)&amp;'Sh20'!B3&amp;","&amp;'Sh20'!C3&amp;","&amp;set!$A$2&amp;CHAR(34)&amp;" href="&amp;CHAR(34)&amp;set!$A$3&amp;'Sh20'!A3&amp;set!$A$4&amp;CHAR(34)&amp;" alt="&amp;CHAR(34)&amp;'Sh20'!E3&amp;CHAR(34)&amp;" title="&amp;CHAR(34)&amp;'Sh20'!D3&amp;CHAR(34)&amp;"&gt;"))</f>
        <v>&lt;area shape="circle" target="_self" coords="300,350,11" href="http://partsgowheel.ru/?s=21203TB000&amp;post_type=product&amp;type_aws=true" alt="3" title="Защита кнопок дисплея"&gt;</v>
      </c>
      <c r="U6" t="str">
        <f>IF(ISBLANK('Sh21'!A3),("&lt;/map&gt;&lt;/div&gt;"),("&lt;area shape="&amp;CHAR(34)&amp;"circle"&amp;CHAR(34)&amp;" target="&amp;CHAR(34)&amp;"_self"&amp;CHAR(34)&amp;" coords="&amp;CHAR(34)&amp;'Sh21'!B3&amp;","&amp;'Sh21'!C3&amp;","&amp;set!$A$2&amp;CHAR(34)&amp;" href="&amp;CHAR(34)&amp;set!$A$3&amp;'Sh21'!A3&amp;set!$A$4&amp;CHAR(34)&amp;" alt="&amp;CHAR(34)&amp;'Sh21'!E3&amp;CHAR(34)&amp;" title="&amp;CHAR(34)&amp;'Sh21'!D3&amp;CHAR(34)&amp;"&gt;"))</f>
        <v>&lt;area shape="circle" target="_self" coords="300,350,11" href="http://partsgowheel.ru/?s=21203TB000&amp;post_type=product&amp;type_aws=true" alt="3" title="Защита кнопок дисплея"&gt;</v>
      </c>
      <c r="V6" s="6" t="str">
        <f>"&lt;div class="&amp;CHAR(34)&amp;"scheme "&amp;set!$A$1&amp;" "&amp;"sec00"&amp;CHAR(34)&amp;" style="&amp;CHAR(34)&amp;"display:none"&amp;CHAR(34)&amp;"&gt;"</f>
        <v>&lt;div class="scheme etwow_bgt sec00" style="display:none"&gt;</v>
      </c>
      <c r="W6" s="6"/>
      <c r="X6" s="6" t="s">
        <v>77</v>
      </c>
    </row>
    <row r="7" spans="1:24" x14ac:dyDescent="0.25">
      <c r="A7" s="10" t="str">
        <f>IF(ISBLANK('Sh1'!A4),("&lt;/map&gt;&lt;/div&gt;"),("&lt;area shape="&amp;CHAR(34)&amp;"circle"&amp;CHAR(34)&amp;" target="&amp;CHAR(34)&amp;"_self"&amp;CHAR(34)&amp;" coords="&amp;CHAR(34)&amp;'Sh1'!B4&amp;","&amp;'Sh1'!C4&amp;","&amp;set!$A$2&amp;CHAR(34)&amp;" href="&amp;CHAR(34)&amp;set!$A$3&amp;'Sh1'!A4&amp;set!$A$4&amp;CHAR(34)&amp;" alt="&amp;CHAR(34)&amp;'Sh1'!E4&amp;CHAR(34)&amp;" title="&amp;CHAR(34)&amp;'Sh1'!D4&amp;CHAR(34)&amp;"&gt;"))</f>
        <v>&lt;area shape="circle" target="_self" coords="400,450,11" href="http://partsgowheel.ru/?s=21204TB000&amp;post_type=product&amp;type_aws=true" alt="4" title="Саморез"&gt;</v>
      </c>
      <c r="B7" s="10" t="str">
        <f>IF(ISBLANK('Sh2'!A4),("&lt;/map&gt;&lt;/div&gt;"),("&lt;area shape="&amp;CHAR(34)&amp;"circle"&amp;CHAR(34)&amp;" target="&amp;CHAR(34)&amp;"_self"&amp;CHAR(34)&amp;" coords="&amp;CHAR(34)&amp;'Sh2'!B4&amp;","&amp;'Sh2'!C4&amp;","&amp;set!$A$2&amp;CHAR(34)&amp;" href="&amp;CHAR(34)&amp;set!$A$3&amp;'Sh2'!A4&amp;set!$A$4&amp;CHAR(34)&amp;" alt="&amp;CHAR(34)&amp;'Sh2'!E4&amp;CHAR(34)&amp;" title="&amp;CHAR(34)&amp;'Sh2'!D4&amp;CHAR(34)&amp;"&gt;"))</f>
        <v>&lt;area shape="circle" target="_self" coords="1100,1150,11" href="http://partsgowheel.ru/?s=21211TB000&amp;post_type=product&amp;type_aws=true" alt="4" title="Накладка"&gt;</v>
      </c>
      <c r="C7" t="str">
        <f>IF(ISBLANK('Sh3'!A4),("&lt;/map&gt;&lt;/div&gt;"),("&lt;area shape="&amp;CHAR(34)&amp;"circle"&amp;CHAR(34)&amp;" target="&amp;CHAR(34)&amp;"_self"&amp;CHAR(34)&amp;" coords="&amp;CHAR(34)&amp;'Sh3'!B4&amp;","&amp;'Sh3'!C4&amp;","&amp;set!$A$2&amp;CHAR(34)&amp;" href="&amp;CHAR(34)&amp;set!$A$3&amp;'Sh3'!A4&amp;set!$A$4&amp;CHAR(34)&amp;" alt="&amp;CHAR(34)&amp;'Sh3'!E4&amp;CHAR(34)&amp;" title="&amp;CHAR(34)&amp;'Sh3'!D4&amp;CHAR(34)&amp;"&gt;"))</f>
        <v>&lt;area shape="circle" target="_self" coords="400,450,11" href="http://partsgowheel.ru/?s=21204TB000&amp;post_type=product&amp;type_aws=true" alt="4" title="Саморез"&gt;</v>
      </c>
      <c r="D7" t="str">
        <f>IF(ISBLANK('Sh4'!A4),("&lt;/map&gt;&lt;/div&gt;"),("&lt;area shape="&amp;CHAR(34)&amp;"circle"&amp;CHAR(34)&amp;" target="&amp;CHAR(34)&amp;"_self"&amp;CHAR(34)&amp;" coords="&amp;CHAR(34)&amp;'Sh4'!B4&amp;","&amp;'Sh4'!C4&amp;","&amp;set!$A$2&amp;CHAR(34)&amp;" href="&amp;CHAR(34)&amp;set!$A$3&amp;'Sh4'!A4&amp;set!$A$4&amp;CHAR(34)&amp;" alt="&amp;CHAR(34)&amp;'Sh4'!E4&amp;CHAR(34)&amp;" title="&amp;CHAR(34)&amp;'Sh4'!D4&amp;CHAR(34)&amp;"&gt;"))</f>
        <v>&lt;area shape="circle" target="_self" coords="400,450,11" href="http://partsgowheel.ru/?s=21204TB000&amp;post_type=product&amp;type_aws=true" alt="4" title="Саморез"&gt;</v>
      </c>
      <c r="E7" t="str">
        <f>IF(ISBLANK('Sh5'!A4),("&lt;/map&gt;&lt;/div&gt;"),("&lt;area shape="&amp;CHAR(34)&amp;"circle"&amp;CHAR(34)&amp;" target="&amp;CHAR(34)&amp;"_self"&amp;CHAR(34)&amp;" coords="&amp;CHAR(34)&amp;'Sh5'!B4&amp;","&amp;'Sh5'!C4&amp;","&amp;set!$A$2&amp;CHAR(34)&amp;" href="&amp;CHAR(34)&amp;set!$A$3&amp;'Sh5'!A4&amp;set!$A$4&amp;CHAR(34)&amp;" alt="&amp;CHAR(34)&amp;'Sh5'!E4&amp;CHAR(34)&amp;" title="&amp;CHAR(34)&amp;'Sh5'!D4&amp;CHAR(34)&amp;"&gt;"))</f>
        <v>&lt;area shape="circle" target="_self" coords="400,450,11" href="http://partsgowheel.ru/?s=21204TB000&amp;post_type=product&amp;type_aws=true" alt="4" title="Саморез"&gt;</v>
      </c>
      <c r="F7" t="str">
        <f>IF(ISBLANK('Sh6'!A4),("&lt;/map&gt;&lt;/div&gt;"),("&lt;area shape="&amp;CHAR(34)&amp;"circle"&amp;CHAR(34)&amp;" target="&amp;CHAR(34)&amp;"_self"&amp;CHAR(34)&amp;" coords="&amp;CHAR(34)&amp;'Sh6'!B4&amp;","&amp;'Sh6'!C4&amp;","&amp;set!$A$2&amp;CHAR(34)&amp;" href="&amp;CHAR(34)&amp;set!$A$3&amp;'Sh6'!A4&amp;set!$A$4&amp;CHAR(34)&amp;" alt="&amp;CHAR(34)&amp;'Sh6'!E4&amp;CHAR(34)&amp;" title="&amp;CHAR(34)&amp;'Sh6'!D4&amp;CHAR(34)&amp;"&gt;"))</f>
        <v>&lt;area shape="circle" target="_self" coords="400,450,11" href="http://partsgowheel.ru/?s=21204TB000&amp;post_type=product&amp;type_aws=true" alt="4" title="Саморез"&gt;</v>
      </c>
      <c r="G7" t="str">
        <f>IF(ISBLANK('Sh7'!A4),("&lt;/map&gt;&lt;/div&gt;"),("&lt;area shape="&amp;CHAR(34)&amp;"circle"&amp;CHAR(34)&amp;" target="&amp;CHAR(34)&amp;"_self"&amp;CHAR(34)&amp;" coords="&amp;CHAR(34)&amp;'Sh7'!B4&amp;","&amp;'Sh7'!C4&amp;","&amp;set!$A$2&amp;CHAR(34)&amp;" href="&amp;CHAR(34)&amp;set!$A$3&amp;'Sh7'!A4&amp;set!$A$4&amp;CHAR(34)&amp;" alt="&amp;CHAR(34)&amp;'Sh7'!E4&amp;CHAR(34)&amp;" title="&amp;CHAR(34)&amp;'Sh7'!D4&amp;CHAR(34)&amp;"&gt;"))</f>
        <v>&lt;area shape="circle" target="_self" coords="400,450,11" href="http://partsgowheel.ru/?s=21204TB000&amp;post_type=product&amp;type_aws=true" alt="4" title="Саморез"&gt;</v>
      </c>
      <c r="H7" t="str">
        <f>IF(ISBLANK('Sh8'!A4),("&lt;/map&gt;&lt;/div&gt;"),("&lt;area shape="&amp;CHAR(34)&amp;"circle"&amp;CHAR(34)&amp;" target="&amp;CHAR(34)&amp;"_self"&amp;CHAR(34)&amp;" coords="&amp;CHAR(34)&amp;'Sh8'!B4&amp;","&amp;'Sh8'!C4&amp;","&amp;set!$A$2&amp;CHAR(34)&amp;" href="&amp;CHAR(34)&amp;set!$A$3&amp;'Sh8'!A4&amp;set!$A$4&amp;CHAR(34)&amp;" alt="&amp;CHAR(34)&amp;'Sh8'!E4&amp;CHAR(34)&amp;" title="&amp;CHAR(34)&amp;'Sh8'!D4&amp;CHAR(34)&amp;"&gt;"))</f>
        <v>&lt;area shape="circle" target="_self" coords="400,450,11" href="http://partsgowheel.ru/?s=21204TB000&amp;post_type=product&amp;type_aws=true" alt="4" title="Саморез"&gt;</v>
      </c>
      <c r="I7" t="str">
        <f>IF(ISBLANK('Sh9'!A4),("&lt;/map&gt;&lt;/div&gt;"),("&lt;area shape="&amp;CHAR(34)&amp;"circle"&amp;CHAR(34)&amp;" target="&amp;CHAR(34)&amp;"_self"&amp;CHAR(34)&amp;" coords="&amp;CHAR(34)&amp;'Sh9'!B4&amp;","&amp;'Sh9'!C4&amp;","&amp;set!$A$2&amp;CHAR(34)&amp;" href="&amp;CHAR(34)&amp;set!$A$3&amp;'Sh9'!A4&amp;set!$A$4&amp;CHAR(34)&amp;" alt="&amp;CHAR(34)&amp;'Sh9'!E4&amp;CHAR(34)&amp;" title="&amp;CHAR(34)&amp;'Sh9'!D4&amp;CHAR(34)&amp;"&gt;"))</f>
        <v>&lt;area shape="circle" target="_self" coords="400,450,11" href="http://partsgowheel.ru/?s=21204TB000&amp;post_type=product&amp;type_aws=true" alt="4" title="Саморез"&gt;</v>
      </c>
      <c r="J7" t="str">
        <f>IF(ISBLANK('Sh10'!A4),("&lt;/map&gt;&lt;/div&gt;"),("&lt;area shape="&amp;CHAR(34)&amp;"circle"&amp;CHAR(34)&amp;" target="&amp;CHAR(34)&amp;"_self"&amp;CHAR(34)&amp;" coords="&amp;CHAR(34)&amp;'Sh10'!B4&amp;","&amp;'Sh10'!C4&amp;","&amp;set!$A$2&amp;CHAR(34)&amp;" href="&amp;CHAR(34)&amp;set!$A$3&amp;'Sh10'!A4&amp;set!$A$4&amp;CHAR(34)&amp;" alt="&amp;CHAR(34)&amp;'Sh10'!E4&amp;CHAR(34)&amp;" title="&amp;CHAR(34)&amp;'Sh10'!D4&amp;CHAR(34)&amp;"&gt;"))</f>
        <v>&lt;area shape="circle" target="_self" coords="400,450,11" href="http://partsgowheel.ru/?s=21204TB000&amp;post_type=product&amp;type_aws=true" alt="4" title="Саморез"&gt;</v>
      </c>
      <c r="K7" t="str">
        <f>IF(ISBLANK('Sh11'!A4),("&lt;/map&gt;&lt;/div&gt;"),("&lt;area shape="&amp;CHAR(34)&amp;"circle"&amp;CHAR(34)&amp;" target="&amp;CHAR(34)&amp;"_self"&amp;CHAR(34)&amp;" coords="&amp;CHAR(34)&amp;'Sh11'!B4&amp;","&amp;'Sh11'!C4&amp;","&amp;set!$A$2&amp;CHAR(34)&amp;" href="&amp;CHAR(34)&amp;set!$A$3&amp;'Sh11'!A4&amp;set!$A$4&amp;CHAR(34)&amp;" alt="&amp;CHAR(34)&amp;'Sh11'!E4&amp;CHAR(34)&amp;" title="&amp;CHAR(34)&amp;'Sh11'!D4&amp;CHAR(34)&amp;"&gt;"))</f>
        <v>&lt;area shape="circle" target="_self" coords="400,450,11" href="http://partsgowheel.ru/?s=21204TB000&amp;post_type=product&amp;type_aws=true" alt="4" title="Саморез"&gt;</v>
      </c>
      <c r="L7" t="str">
        <f>IF(ISBLANK('Sh12'!A4),("&lt;/map&gt;&lt;/div&gt;"),("&lt;area shape="&amp;CHAR(34)&amp;"circle"&amp;CHAR(34)&amp;" target="&amp;CHAR(34)&amp;"_self"&amp;CHAR(34)&amp;" coords="&amp;CHAR(34)&amp;'Sh12'!B4&amp;","&amp;'Sh12'!C4&amp;","&amp;set!$A$2&amp;CHAR(34)&amp;" href="&amp;CHAR(34)&amp;set!$A$3&amp;'Sh12'!A4&amp;set!$A$4&amp;CHAR(34)&amp;" alt="&amp;CHAR(34)&amp;'Sh12'!E4&amp;CHAR(34)&amp;" title="&amp;CHAR(34)&amp;'Sh12'!D4&amp;CHAR(34)&amp;"&gt;"))</f>
        <v>&lt;area shape="circle" target="_self" coords="400,450,11" href="http://partsgowheel.ru/?s=21204TB000&amp;post_type=product&amp;type_aws=true" alt="4" title="Саморез"&gt;</v>
      </c>
      <c r="M7" t="str">
        <f>IF(ISBLANK('Sh13'!A4),("&lt;/map&gt;&lt;/div&gt;"),("&lt;area shape="&amp;CHAR(34)&amp;"circle"&amp;CHAR(34)&amp;" target="&amp;CHAR(34)&amp;"_self"&amp;CHAR(34)&amp;" coords="&amp;CHAR(34)&amp;'Sh13'!B4&amp;","&amp;'Sh13'!C4&amp;","&amp;set!$A$2&amp;CHAR(34)&amp;" href="&amp;CHAR(34)&amp;set!$A$3&amp;'Sh13'!A4&amp;set!$A$4&amp;CHAR(34)&amp;" alt="&amp;CHAR(34)&amp;'Sh13'!E4&amp;CHAR(34)&amp;" title="&amp;CHAR(34)&amp;'Sh13'!D4&amp;CHAR(34)&amp;"&gt;"))</f>
        <v>&lt;area shape="circle" target="_self" coords="400,450,11" href="http://partsgowheel.ru/?s=21204TB000&amp;post_type=product&amp;type_aws=true" alt="4" title="Саморез"&gt;</v>
      </c>
      <c r="N7" t="str">
        <f>IF(ISBLANK('Sh14'!A4),("&lt;/map&gt;&lt;/div&gt;"),("&lt;area shape="&amp;CHAR(34)&amp;"circle"&amp;CHAR(34)&amp;" target="&amp;CHAR(34)&amp;"_self"&amp;CHAR(34)&amp;" coords="&amp;CHAR(34)&amp;'Sh14'!B4&amp;","&amp;'Sh14'!C4&amp;","&amp;set!$A$2&amp;CHAR(34)&amp;" href="&amp;CHAR(34)&amp;set!$A$3&amp;'Sh14'!A4&amp;set!$A$4&amp;CHAR(34)&amp;" alt="&amp;CHAR(34)&amp;'Sh14'!E4&amp;CHAR(34)&amp;" title="&amp;CHAR(34)&amp;'Sh14'!D4&amp;CHAR(34)&amp;"&gt;"))</f>
        <v>&lt;area shape="circle" target="_self" coords="400,450,11" href="http://partsgowheel.ru/?s=21204TB000&amp;post_type=product&amp;type_aws=true" alt="4" title="Саморез"&gt;</v>
      </c>
      <c r="O7" t="str">
        <f>IF(ISBLANK('Sh15'!A4),("&lt;/map&gt;&lt;/div&gt;"),("&lt;area shape="&amp;CHAR(34)&amp;"circle"&amp;CHAR(34)&amp;" target="&amp;CHAR(34)&amp;"_self"&amp;CHAR(34)&amp;" coords="&amp;CHAR(34)&amp;'Sh15'!B4&amp;","&amp;'Sh15'!C4&amp;","&amp;set!$A$2&amp;CHAR(34)&amp;" href="&amp;CHAR(34)&amp;set!$A$3&amp;'Sh15'!A4&amp;set!$A$4&amp;CHAR(34)&amp;" alt="&amp;CHAR(34)&amp;'Sh15'!E4&amp;CHAR(34)&amp;" title="&amp;CHAR(34)&amp;'Sh15'!D4&amp;CHAR(34)&amp;"&gt;"))</f>
        <v>&lt;area shape="circle" target="_self" coords="400,450,11" href="http://partsgowheel.ru/?s=21204TB000&amp;post_type=product&amp;type_aws=true" alt="4" title="Саморез"&gt;</v>
      </c>
      <c r="P7" t="str">
        <f>IF(ISBLANK('Sh16'!A4),("&lt;/map&gt;&lt;/div&gt;"),("&lt;area shape="&amp;CHAR(34)&amp;"circle"&amp;CHAR(34)&amp;" target="&amp;CHAR(34)&amp;"_self"&amp;CHAR(34)&amp;" coords="&amp;CHAR(34)&amp;'Sh16'!B4&amp;","&amp;'Sh16'!C4&amp;","&amp;set!$A$2&amp;CHAR(34)&amp;" href="&amp;CHAR(34)&amp;set!$A$3&amp;'Sh16'!A4&amp;set!$A$4&amp;CHAR(34)&amp;" alt="&amp;CHAR(34)&amp;'Sh16'!E4&amp;CHAR(34)&amp;" title="&amp;CHAR(34)&amp;'Sh16'!D4&amp;CHAR(34)&amp;"&gt;"))</f>
        <v>&lt;area shape="circle" target="_self" coords="400,450,11" href="http://partsgowheel.ru/?s=21204TB000&amp;post_type=product&amp;type_aws=true" alt="4" title="Саморез"&gt;</v>
      </c>
      <c r="Q7" t="str">
        <f>IF(ISBLANK('Sh17'!A4),("&lt;/map&gt;&lt;/div&gt;"),("&lt;area shape="&amp;CHAR(34)&amp;"circle"&amp;CHAR(34)&amp;" target="&amp;CHAR(34)&amp;"_self"&amp;CHAR(34)&amp;" coords="&amp;CHAR(34)&amp;'Sh17'!B4&amp;","&amp;'Sh17'!C4&amp;","&amp;set!$A$2&amp;CHAR(34)&amp;" href="&amp;CHAR(34)&amp;set!$A$3&amp;'Sh17'!A4&amp;set!$A$4&amp;CHAR(34)&amp;" alt="&amp;CHAR(34)&amp;'Sh17'!E4&amp;CHAR(34)&amp;" title="&amp;CHAR(34)&amp;'Sh17'!D4&amp;CHAR(34)&amp;"&gt;"))</f>
        <v>&lt;area shape="circle" target="_self" coords="400,450,11" href="http://partsgowheel.ru/?s=21204TB000&amp;post_type=product&amp;type_aws=true" alt="4" title="Саморез"&gt;</v>
      </c>
      <c r="R7" t="str">
        <f>IF(ISBLANK('Sh18'!A4),("&lt;/map&gt;&lt;/div&gt;"),("&lt;area shape="&amp;CHAR(34)&amp;"circle"&amp;CHAR(34)&amp;" target="&amp;CHAR(34)&amp;"_self"&amp;CHAR(34)&amp;" coords="&amp;CHAR(34)&amp;'Sh18'!B4&amp;","&amp;'Sh18'!C4&amp;","&amp;set!$A$2&amp;CHAR(34)&amp;" href="&amp;CHAR(34)&amp;set!$A$3&amp;'Sh18'!A4&amp;set!$A$4&amp;CHAR(34)&amp;" alt="&amp;CHAR(34)&amp;'Sh18'!E4&amp;CHAR(34)&amp;" title="&amp;CHAR(34)&amp;'Sh18'!D4&amp;CHAR(34)&amp;"&gt;"))</f>
        <v>&lt;area shape="circle" target="_self" coords="400,450,11" href="http://partsgowheel.ru/?s=21204TB000&amp;post_type=product&amp;type_aws=true" alt="4" title="Саморез"&gt;</v>
      </c>
      <c r="S7" t="str">
        <f>IF(ISBLANK('Sh19'!A4),("&lt;/map&gt;&lt;/div&gt;"),("&lt;area shape="&amp;CHAR(34)&amp;"circle"&amp;CHAR(34)&amp;" target="&amp;CHAR(34)&amp;"_self"&amp;CHAR(34)&amp;" coords="&amp;CHAR(34)&amp;'Sh19'!B4&amp;","&amp;'Sh19'!C4&amp;","&amp;set!$A$2&amp;CHAR(34)&amp;" href="&amp;CHAR(34)&amp;set!$A$3&amp;'Sh19'!A4&amp;set!$A$4&amp;CHAR(34)&amp;" alt="&amp;CHAR(34)&amp;'Sh19'!E4&amp;CHAR(34)&amp;" title="&amp;CHAR(34)&amp;'Sh19'!D4&amp;CHAR(34)&amp;"&gt;"))</f>
        <v>&lt;area shape="circle" target="_self" coords="400,450,11" href="http://partsgowheel.ru/?s=21204TB000&amp;post_type=product&amp;type_aws=true" alt="4" title="Саморез"&gt;</v>
      </c>
      <c r="T7" t="str">
        <f>IF(ISBLANK('Sh20'!A4),("&lt;/map&gt;&lt;/div&gt;"),("&lt;area shape="&amp;CHAR(34)&amp;"circle"&amp;CHAR(34)&amp;" target="&amp;CHAR(34)&amp;"_self"&amp;CHAR(34)&amp;" coords="&amp;CHAR(34)&amp;'Sh20'!B4&amp;","&amp;'Sh20'!C4&amp;","&amp;set!$A$2&amp;CHAR(34)&amp;" href="&amp;CHAR(34)&amp;set!$A$3&amp;'Sh20'!A4&amp;set!$A$4&amp;CHAR(34)&amp;" alt="&amp;CHAR(34)&amp;'Sh20'!E4&amp;CHAR(34)&amp;" title="&amp;CHAR(34)&amp;'Sh20'!D4&amp;CHAR(34)&amp;"&gt;"))</f>
        <v>&lt;area shape="circle" target="_self" coords="400,450,11" href="http://partsgowheel.ru/?s=21204TB000&amp;post_type=product&amp;type_aws=true" alt="4" title="Саморез"&gt;</v>
      </c>
      <c r="U7" t="str">
        <f>IF(ISBLANK('Sh21'!A4),("&lt;/map&gt;&lt;/div&gt;"),("&lt;area shape="&amp;CHAR(34)&amp;"circle"&amp;CHAR(34)&amp;" target="&amp;CHAR(34)&amp;"_self"&amp;CHAR(34)&amp;" coords="&amp;CHAR(34)&amp;'Sh21'!B4&amp;","&amp;'Sh21'!C4&amp;","&amp;set!$A$2&amp;CHAR(34)&amp;" href="&amp;CHAR(34)&amp;set!$A$3&amp;'Sh21'!A4&amp;set!$A$4&amp;CHAR(34)&amp;" alt="&amp;CHAR(34)&amp;'Sh21'!E4&amp;CHAR(34)&amp;" title="&amp;CHAR(34)&amp;'Sh21'!D4&amp;CHAR(34)&amp;"&gt;"))</f>
        <v>&lt;area shape="circle" target="_self" coords="400,450,11" href="http://partsgowheel.ru/?s=21204TB000&amp;post_type=product&amp;type_aws=true" alt="4" title="Саморез"&gt;</v>
      </c>
      <c r="V7" s="6" t="str">
        <f>"&lt;img class="&amp;CHAR(34)&amp;"map"&amp;CHAR(34)&amp;" src="&amp;CHAR(34)&amp;set!$A$5&amp;set!$A$1&amp;"_"&amp;"assy"&amp;".jpg"&amp;CHAR(34)&amp;" usemap="&amp;CHAR(34)&amp;"#"&amp;set!$A$1&amp;"_"&amp;"assy"&amp;CHAR(34)&amp;" name="&amp;CHAR(34)&amp;"show"&amp;CHAR(34)&amp;"&gt;"</f>
        <v>&lt;img class="map" src="cats/img/etwow_bgt_assy.jpg" usemap="#etwow_bgt_assy" name="show"&gt;</v>
      </c>
      <c r="W7" s="6"/>
      <c r="X7" s="6" t="s">
        <v>78</v>
      </c>
    </row>
    <row r="8" spans="1:24" x14ac:dyDescent="0.25">
      <c r="A8" s="10" t="str">
        <f>IF(ISBLANK('Sh1'!A5),("&lt;/map&gt;&lt;/div&gt;"),("&lt;area shape="&amp;CHAR(34)&amp;"circle"&amp;CHAR(34)&amp;" target="&amp;CHAR(34)&amp;"_self"&amp;CHAR(34)&amp;" coords="&amp;CHAR(34)&amp;'Sh1'!B5&amp;","&amp;'Sh1'!C5&amp;","&amp;set!$A$2&amp;CHAR(34)&amp;" href="&amp;CHAR(34)&amp;set!$A$3&amp;'Sh1'!A5&amp;set!$A$4&amp;CHAR(34)&amp;" alt="&amp;CHAR(34)&amp;'Sh1'!E5&amp;CHAR(34)&amp;" title="&amp;CHAR(34)&amp;'Sh1'!D5&amp;CHAR(34)&amp;"&gt;"))</f>
        <v>&lt;area shape="circle" target="_self" coords="500,550,11" href="http://partsgowheel.ru/?s=21205TB000&amp;post_type=product&amp;type_aws=true" alt="5" title="Стекло дисплея"&gt;</v>
      </c>
      <c r="B8" s="10" t="str">
        <f>IF(ISBLANK('Sh2'!A5),("&lt;/map&gt;&lt;/div&gt;"),("&lt;area shape="&amp;CHAR(34)&amp;"circle"&amp;CHAR(34)&amp;" target="&amp;CHAR(34)&amp;"_self"&amp;CHAR(34)&amp;" coords="&amp;CHAR(34)&amp;'Sh2'!B5&amp;","&amp;'Sh2'!C5&amp;","&amp;set!$A$2&amp;CHAR(34)&amp;" href="&amp;CHAR(34)&amp;set!$A$3&amp;'Sh2'!A5&amp;set!$A$4&amp;CHAR(34)&amp;" alt="&amp;CHAR(34)&amp;'Sh2'!E5&amp;CHAR(34)&amp;" title="&amp;CHAR(34)&amp;'Sh2'!D5&amp;CHAR(34)&amp;"&gt;"))</f>
        <v>&lt;area shape="circle" target="_self" coords="1200,1250,11" href="http://partsgowheel.ru/?s=21212TB000&amp;post_type=product&amp;type_aws=true" alt="5" title="Прокладка"&gt;</v>
      </c>
      <c r="C8" t="str">
        <f>IF(ISBLANK('Sh3'!A5),("&lt;/map&gt;&lt;/div&gt;"),("&lt;area shape="&amp;CHAR(34)&amp;"circle"&amp;CHAR(34)&amp;" target="&amp;CHAR(34)&amp;"_self"&amp;CHAR(34)&amp;" coords="&amp;CHAR(34)&amp;'Sh3'!B5&amp;","&amp;'Sh3'!C5&amp;","&amp;set!$A$2&amp;CHAR(34)&amp;" href="&amp;CHAR(34)&amp;set!$A$3&amp;'Sh3'!A5&amp;set!$A$4&amp;CHAR(34)&amp;" alt="&amp;CHAR(34)&amp;'Sh3'!E5&amp;CHAR(34)&amp;" title="&amp;CHAR(34)&amp;'Sh3'!D5&amp;CHAR(34)&amp;"&gt;"))</f>
        <v>&lt;area shape="circle" target="_self" coords="500,550,11" href="http://partsgowheel.ru/?s=21205TB000&amp;post_type=product&amp;type_aws=true" alt="5" title="Стекло дисплея"&gt;</v>
      </c>
      <c r="D8" t="str">
        <f>IF(ISBLANK('Sh4'!A5),("&lt;/map&gt;&lt;/div&gt;"),("&lt;area shape="&amp;CHAR(34)&amp;"circle"&amp;CHAR(34)&amp;" target="&amp;CHAR(34)&amp;"_self"&amp;CHAR(34)&amp;" coords="&amp;CHAR(34)&amp;'Sh4'!B5&amp;","&amp;'Sh4'!C5&amp;","&amp;set!$A$2&amp;CHAR(34)&amp;" href="&amp;CHAR(34)&amp;set!$A$3&amp;'Sh4'!A5&amp;set!$A$4&amp;CHAR(34)&amp;" alt="&amp;CHAR(34)&amp;'Sh4'!E5&amp;CHAR(34)&amp;" title="&amp;CHAR(34)&amp;'Sh4'!D5&amp;CHAR(34)&amp;"&gt;"))</f>
        <v>&lt;area shape="circle" target="_self" coords="500,550,11" href="http://partsgowheel.ru/?s=21205TB000&amp;post_type=product&amp;type_aws=true" alt="5" title="Стекло дисплея"&gt;</v>
      </c>
      <c r="E8" t="str">
        <f>IF(ISBLANK('Sh5'!A5),("&lt;/map&gt;&lt;/div&gt;"),("&lt;area shape="&amp;CHAR(34)&amp;"circle"&amp;CHAR(34)&amp;" target="&amp;CHAR(34)&amp;"_self"&amp;CHAR(34)&amp;" coords="&amp;CHAR(34)&amp;'Sh5'!B5&amp;","&amp;'Sh5'!C5&amp;","&amp;set!$A$2&amp;CHAR(34)&amp;" href="&amp;CHAR(34)&amp;set!$A$3&amp;'Sh5'!A5&amp;set!$A$4&amp;CHAR(34)&amp;" alt="&amp;CHAR(34)&amp;'Sh5'!E5&amp;CHAR(34)&amp;" title="&amp;CHAR(34)&amp;'Sh5'!D5&amp;CHAR(34)&amp;"&gt;"))</f>
        <v>&lt;area shape="circle" target="_self" coords="500,550,11" href="http://partsgowheel.ru/?s=21205TB000&amp;post_type=product&amp;type_aws=true" alt="5" title="Стекло дисплея"&gt;</v>
      </c>
      <c r="F8" t="str">
        <f>IF(ISBLANK('Sh6'!A5),("&lt;/map&gt;&lt;/div&gt;"),("&lt;area shape="&amp;CHAR(34)&amp;"circle"&amp;CHAR(34)&amp;" target="&amp;CHAR(34)&amp;"_self"&amp;CHAR(34)&amp;" coords="&amp;CHAR(34)&amp;'Sh6'!B5&amp;","&amp;'Sh6'!C5&amp;","&amp;set!$A$2&amp;CHAR(34)&amp;" href="&amp;CHAR(34)&amp;set!$A$3&amp;'Sh6'!A5&amp;set!$A$4&amp;CHAR(34)&amp;" alt="&amp;CHAR(34)&amp;'Sh6'!E5&amp;CHAR(34)&amp;" title="&amp;CHAR(34)&amp;'Sh6'!D5&amp;CHAR(34)&amp;"&gt;"))</f>
        <v>&lt;area shape="circle" target="_self" coords="500,550,11" href="http://partsgowheel.ru/?s=21205TB000&amp;post_type=product&amp;type_aws=true" alt="5" title="Стекло дисплея"&gt;</v>
      </c>
      <c r="G8" t="str">
        <f>IF(ISBLANK('Sh7'!A5),("&lt;/map&gt;&lt;/div&gt;"),("&lt;area shape="&amp;CHAR(34)&amp;"circle"&amp;CHAR(34)&amp;" target="&amp;CHAR(34)&amp;"_self"&amp;CHAR(34)&amp;" coords="&amp;CHAR(34)&amp;'Sh7'!B5&amp;","&amp;'Sh7'!C5&amp;","&amp;set!$A$2&amp;CHAR(34)&amp;" href="&amp;CHAR(34)&amp;set!$A$3&amp;'Sh7'!A5&amp;set!$A$4&amp;CHAR(34)&amp;" alt="&amp;CHAR(34)&amp;'Sh7'!E5&amp;CHAR(34)&amp;" title="&amp;CHAR(34)&amp;'Sh7'!D5&amp;CHAR(34)&amp;"&gt;"))</f>
        <v>&lt;area shape="circle" target="_self" coords="500,550,11" href="http://partsgowheel.ru/?s=21205TB000&amp;post_type=product&amp;type_aws=true" alt="5" title="Стекло дисплея"&gt;</v>
      </c>
      <c r="H8" t="str">
        <f>IF(ISBLANK('Sh8'!A5),("&lt;/map&gt;&lt;/div&gt;"),("&lt;area shape="&amp;CHAR(34)&amp;"circle"&amp;CHAR(34)&amp;" target="&amp;CHAR(34)&amp;"_self"&amp;CHAR(34)&amp;" coords="&amp;CHAR(34)&amp;'Sh8'!B5&amp;","&amp;'Sh8'!C5&amp;","&amp;set!$A$2&amp;CHAR(34)&amp;" href="&amp;CHAR(34)&amp;set!$A$3&amp;'Sh8'!A5&amp;set!$A$4&amp;CHAR(34)&amp;" alt="&amp;CHAR(34)&amp;'Sh8'!E5&amp;CHAR(34)&amp;" title="&amp;CHAR(34)&amp;'Sh8'!D5&amp;CHAR(34)&amp;"&gt;"))</f>
        <v>&lt;area shape="circle" target="_self" coords="500,550,11" href="http://partsgowheel.ru/?s=21205TB000&amp;post_type=product&amp;type_aws=true" alt="5" title="Стекло дисплея"&gt;</v>
      </c>
      <c r="I8" t="str">
        <f>IF(ISBLANK('Sh9'!A5),("&lt;/map&gt;&lt;/div&gt;"),("&lt;area shape="&amp;CHAR(34)&amp;"circle"&amp;CHAR(34)&amp;" target="&amp;CHAR(34)&amp;"_self"&amp;CHAR(34)&amp;" coords="&amp;CHAR(34)&amp;'Sh9'!B5&amp;","&amp;'Sh9'!C5&amp;","&amp;set!$A$2&amp;CHAR(34)&amp;" href="&amp;CHAR(34)&amp;set!$A$3&amp;'Sh9'!A5&amp;set!$A$4&amp;CHAR(34)&amp;" alt="&amp;CHAR(34)&amp;'Sh9'!E5&amp;CHAR(34)&amp;" title="&amp;CHAR(34)&amp;'Sh9'!D5&amp;CHAR(34)&amp;"&gt;"))</f>
        <v>&lt;area shape="circle" target="_self" coords="500,550,11" href="http://partsgowheel.ru/?s=21205TB000&amp;post_type=product&amp;type_aws=true" alt="5" title="Стекло дисплея"&gt;</v>
      </c>
      <c r="J8" t="str">
        <f>IF(ISBLANK('Sh10'!A5),("&lt;/map&gt;&lt;/div&gt;"),("&lt;area shape="&amp;CHAR(34)&amp;"circle"&amp;CHAR(34)&amp;" target="&amp;CHAR(34)&amp;"_self"&amp;CHAR(34)&amp;" coords="&amp;CHAR(34)&amp;'Sh10'!B5&amp;","&amp;'Sh10'!C5&amp;","&amp;set!$A$2&amp;CHAR(34)&amp;" href="&amp;CHAR(34)&amp;set!$A$3&amp;'Sh10'!A5&amp;set!$A$4&amp;CHAR(34)&amp;" alt="&amp;CHAR(34)&amp;'Sh10'!E5&amp;CHAR(34)&amp;" title="&amp;CHAR(34)&amp;'Sh10'!D5&amp;CHAR(34)&amp;"&gt;"))</f>
        <v>&lt;area shape="circle" target="_self" coords="500,550,11" href="http://partsgowheel.ru/?s=21205TB000&amp;post_type=product&amp;type_aws=true" alt="5" title="Стекло дисплея"&gt;</v>
      </c>
      <c r="K8" t="str">
        <f>IF(ISBLANK('Sh11'!A5),("&lt;/map&gt;&lt;/div&gt;"),("&lt;area shape="&amp;CHAR(34)&amp;"circle"&amp;CHAR(34)&amp;" target="&amp;CHAR(34)&amp;"_self"&amp;CHAR(34)&amp;" coords="&amp;CHAR(34)&amp;'Sh11'!B5&amp;","&amp;'Sh11'!C5&amp;","&amp;set!$A$2&amp;CHAR(34)&amp;" href="&amp;CHAR(34)&amp;set!$A$3&amp;'Sh11'!A5&amp;set!$A$4&amp;CHAR(34)&amp;" alt="&amp;CHAR(34)&amp;'Sh11'!E5&amp;CHAR(34)&amp;" title="&amp;CHAR(34)&amp;'Sh11'!D5&amp;CHAR(34)&amp;"&gt;"))</f>
        <v>&lt;area shape="circle" target="_self" coords="500,550,11" href="http://partsgowheel.ru/?s=21205TB000&amp;post_type=product&amp;type_aws=true" alt="5" title="Стекло дисплея"&gt;</v>
      </c>
      <c r="L8" t="str">
        <f>IF(ISBLANK('Sh12'!A5),("&lt;/map&gt;&lt;/div&gt;"),("&lt;area shape="&amp;CHAR(34)&amp;"circle"&amp;CHAR(34)&amp;" target="&amp;CHAR(34)&amp;"_self"&amp;CHAR(34)&amp;" coords="&amp;CHAR(34)&amp;'Sh12'!B5&amp;","&amp;'Sh12'!C5&amp;","&amp;set!$A$2&amp;CHAR(34)&amp;" href="&amp;CHAR(34)&amp;set!$A$3&amp;'Sh12'!A5&amp;set!$A$4&amp;CHAR(34)&amp;" alt="&amp;CHAR(34)&amp;'Sh12'!E5&amp;CHAR(34)&amp;" title="&amp;CHAR(34)&amp;'Sh12'!D5&amp;CHAR(34)&amp;"&gt;"))</f>
        <v>&lt;area shape="circle" target="_self" coords="500,550,11" href="http://partsgowheel.ru/?s=21205TB000&amp;post_type=product&amp;type_aws=true" alt="5" title="Стекло дисплея"&gt;</v>
      </c>
      <c r="M8" t="str">
        <f>IF(ISBLANK('Sh13'!A5),("&lt;/map&gt;&lt;/div&gt;"),("&lt;area shape="&amp;CHAR(34)&amp;"circle"&amp;CHAR(34)&amp;" target="&amp;CHAR(34)&amp;"_self"&amp;CHAR(34)&amp;" coords="&amp;CHAR(34)&amp;'Sh13'!B5&amp;","&amp;'Sh13'!C5&amp;","&amp;set!$A$2&amp;CHAR(34)&amp;" href="&amp;CHAR(34)&amp;set!$A$3&amp;'Sh13'!A5&amp;set!$A$4&amp;CHAR(34)&amp;" alt="&amp;CHAR(34)&amp;'Sh13'!E5&amp;CHAR(34)&amp;" title="&amp;CHAR(34)&amp;'Sh13'!D5&amp;CHAR(34)&amp;"&gt;"))</f>
        <v>&lt;area shape="circle" target="_self" coords="500,550,11" href="http://partsgowheel.ru/?s=21205TB000&amp;post_type=product&amp;type_aws=true" alt="5" title="Стекло дисплея"&gt;</v>
      </c>
      <c r="N8" t="str">
        <f>IF(ISBLANK('Sh14'!A5),("&lt;/map&gt;&lt;/div&gt;"),("&lt;area shape="&amp;CHAR(34)&amp;"circle"&amp;CHAR(34)&amp;" target="&amp;CHAR(34)&amp;"_self"&amp;CHAR(34)&amp;" coords="&amp;CHAR(34)&amp;'Sh14'!B5&amp;","&amp;'Sh14'!C5&amp;","&amp;set!$A$2&amp;CHAR(34)&amp;" href="&amp;CHAR(34)&amp;set!$A$3&amp;'Sh14'!A5&amp;set!$A$4&amp;CHAR(34)&amp;" alt="&amp;CHAR(34)&amp;'Sh14'!E5&amp;CHAR(34)&amp;" title="&amp;CHAR(34)&amp;'Sh14'!D5&amp;CHAR(34)&amp;"&gt;"))</f>
        <v>&lt;area shape="circle" target="_self" coords="500,550,11" href="http://partsgowheel.ru/?s=21205TB000&amp;post_type=product&amp;type_aws=true" alt="5" title="Стекло дисплея"&gt;</v>
      </c>
      <c r="O8" t="str">
        <f>IF(ISBLANK('Sh15'!A5),("&lt;/map&gt;&lt;/div&gt;"),("&lt;area shape="&amp;CHAR(34)&amp;"circle"&amp;CHAR(34)&amp;" target="&amp;CHAR(34)&amp;"_self"&amp;CHAR(34)&amp;" coords="&amp;CHAR(34)&amp;'Sh15'!B5&amp;","&amp;'Sh15'!C5&amp;","&amp;set!$A$2&amp;CHAR(34)&amp;" href="&amp;CHAR(34)&amp;set!$A$3&amp;'Sh15'!A5&amp;set!$A$4&amp;CHAR(34)&amp;" alt="&amp;CHAR(34)&amp;'Sh15'!E5&amp;CHAR(34)&amp;" title="&amp;CHAR(34)&amp;'Sh15'!D5&amp;CHAR(34)&amp;"&gt;"))</f>
        <v>&lt;area shape="circle" target="_self" coords="500,550,11" href="http://partsgowheel.ru/?s=21205TB000&amp;post_type=product&amp;type_aws=true" alt="5" title="Стекло дисплея"&gt;</v>
      </c>
      <c r="P8" t="str">
        <f>IF(ISBLANK('Sh16'!A5),("&lt;/map&gt;&lt;/div&gt;"),("&lt;area shape="&amp;CHAR(34)&amp;"circle"&amp;CHAR(34)&amp;" target="&amp;CHAR(34)&amp;"_self"&amp;CHAR(34)&amp;" coords="&amp;CHAR(34)&amp;'Sh16'!B5&amp;","&amp;'Sh16'!C5&amp;","&amp;set!$A$2&amp;CHAR(34)&amp;" href="&amp;CHAR(34)&amp;set!$A$3&amp;'Sh16'!A5&amp;set!$A$4&amp;CHAR(34)&amp;" alt="&amp;CHAR(34)&amp;'Sh16'!E5&amp;CHAR(34)&amp;" title="&amp;CHAR(34)&amp;'Sh16'!D5&amp;CHAR(34)&amp;"&gt;"))</f>
        <v>&lt;area shape="circle" target="_self" coords="500,550,11" href="http://partsgowheel.ru/?s=21205TB000&amp;post_type=product&amp;type_aws=true" alt="5" title="Стекло дисплея"&gt;</v>
      </c>
      <c r="Q8" t="str">
        <f>IF(ISBLANK('Sh17'!A5),("&lt;/map&gt;&lt;/div&gt;"),("&lt;area shape="&amp;CHAR(34)&amp;"circle"&amp;CHAR(34)&amp;" target="&amp;CHAR(34)&amp;"_self"&amp;CHAR(34)&amp;" coords="&amp;CHAR(34)&amp;'Sh17'!B5&amp;","&amp;'Sh17'!C5&amp;","&amp;set!$A$2&amp;CHAR(34)&amp;" href="&amp;CHAR(34)&amp;set!$A$3&amp;'Sh17'!A5&amp;set!$A$4&amp;CHAR(34)&amp;" alt="&amp;CHAR(34)&amp;'Sh17'!E5&amp;CHAR(34)&amp;" title="&amp;CHAR(34)&amp;'Sh17'!D5&amp;CHAR(34)&amp;"&gt;"))</f>
        <v>&lt;area shape="circle" target="_self" coords="500,550,11" href="http://partsgowheel.ru/?s=21205TB000&amp;post_type=product&amp;type_aws=true" alt="5" title="Стекло дисплея"&gt;</v>
      </c>
      <c r="R8" t="str">
        <f>IF(ISBLANK('Sh18'!A5),("&lt;/map&gt;&lt;/div&gt;"),("&lt;area shape="&amp;CHAR(34)&amp;"circle"&amp;CHAR(34)&amp;" target="&amp;CHAR(34)&amp;"_self"&amp;CHAR(34)&amp;" coords="&amp;CHAR(34)&amp;'Sh18'!B5&amp;","&amp;'Sh18'!C5&amp;","&amp;set!$A$2&amp;CHAR(34)&amp;" href="&amp;CHAR(34)&amp;set!$A$3&amp;'Sh18'!A5&amp;set!$A$4&amp;CHAR(34)&amp;" alt="&amp;CHAR(34)&amp;'Sh18'!E5&amp;CHAR(34)&amp;" title="&amp;CHAR(34)&amp;'Sh18'!D5&amp;CHAR(34)&amp;"&gt;"))</f>
        <v>&lt;area shape="circle" target="_self" coords="500,550,11" href="http://partsgowheel.ru/?s=21205TB000&amp;post_type=product&amp;type_aws=true" alt="5" title="Стекло дисплея"&gt;</v>
      </c>
      <c r="S8" t="str">
        <f>IF(ISBLANK('Sh19'!A5),("&lt;/map&gt;&lt;/div&gt;"),("&lt;area shape="&amp;CHAR(34)&amp;"circle"&amp;CHAR(34)&amp;" target="&amp;CHAR(34)&amp;"_self"&amp;CHAR(34)&amp;" coords="&amp;CHAR(34)&amp;'Sh19'!B5&amp;","&amp;'Sh19'!C5&amp;","&amp;set!$A$2&amp;CHAR(34)&amp;" href="&amp;CHAR(34)&amp;set!$A$3&amp;'Sh19'!A5&amp;set!$A$4&amp;CHAR(34)&amp;" alt="&amp;CHAR(34)&amp;'Sh19'!E5&amp;CHAR(34)&amp;" title="&amp;CHAR(34)&amp;'Sh19'!D5&amp;CHAR(34)&amp;"&gt;"))</f>
        <v>&lt;area shape="circle" target="_self" coords="500,550,11" href="http://partsgowheel.ru/?s=21205TB000&amp;post_type=product&amp;type_aws=true" alt="5" title="Стекло дисплея"&gt;</v>
      </c>
      <c r="T8" t="str">
        <f>IF(ISBLANK('Sh20'!A5),("&lt;/map&gt;&lt;/div&gt;"),("&lt;area shape="&amp;CHAR(34)&amp;"circle"&amp;CHAR(34)&amp;" target="&amp;CHAR(34)&amp;"_self"&amp;CHAR(34)&amp;" coords="&amp;CHAR(34)&amp;'Sh20'!B5&amp;","&amp;'Sh20'!C5&amp;","&amp;set!$A$2&amp;CHAR(34)&amp;" href="&amp;CHAR(34)&amp;set!$A$3&amp;'Sh20'!A5&amp;set!$A$4&amp;CHAR(34)&amp;" alt="&amp;CHAR(34)&amp;'Sh20'!E5&amp;CHAR(34)&amp;" title="&amp;CHAR(34)&amp;'Sh20'!D5&amp;CHAR(34)&amp;"&gt;"))</f>
        <v>&lt;area shape="circle" target="_self" coords="500,550,11" href="http://partsgowheel.ru/?s=21205TB000&amp;post_type=product&amp;type_aws=true" alt="5" title="Стекло дисплея"&gt;</v>
      </c>
      <c r="U8" t="str">
        <f>IF(ISBLANK('Sh21'!A5),("&lt;/map&gt;&lt;/div&gt;"),("&lt;area shape="&amp;CHAR(34)&amp;"circle"&amp;CHAR(34)&amp;" target="&amp;CHAR(34)&amp;"_self"&amp;CHAR(34)&amp;" coords="&amp;CHAR(34)&amp;'Sh21'!B5&amp;","&amp;'Sh21'!C5&amp;","&amp;set!$A$2&amp;CHAR(34)&amp;" href="&amp;CHAR(34)&amp;set!$A$3&amp;'Sh21'!A5&amp;set!$A$4&amp;CHAR(34)&amp;" alt="&amp;CHAR(34)&amp;'Sh21'!E5&amp;CHAR(34)&amp;" title="&amp;CHAR(34)&amp;'Sh21'!D5&amp;CHAR(34)&amp;"&gt;"))</f>
        <v>&lt;area shape="circle" target="_self" coords="500,550,11" href="http://partsgowheel.ru/?s=21205TB000&amp;post_type=product&amp;type_aws=true" alt="5" title="Стекло дисплея"&gt;</v>
      </c>
      <c r="V8" s="6" t="str">
        <f>"&lt;map name="&amp;CHAR(34)&amp;set!$A$1&amp;"_"&amp;"assy"&amp;CHAR(34)&amp;"&gt;"</f>
        <v>&lt;map name="etwow_bgt_assy"&gt;</v>
      </c>
      <c r="W8" s="6"/>
      <c r="X8" s="6" t="s">
        <v>79</v>
      </c>
    </row>
    <row r="9" spans="1:24" x14ac:dyDescent="0.25">
      <c r="A9" s="10" t="str">
        <f>IF(ISBLANK('Sh1'!A6),("&lt;/map&gt;&lt;/div&gt;"),("&lt;area shape="&amp;CHAR(34)&amp;"circle"&amp;CHAR(34)&amp;" target="&amp;CHAR(34)&amp;"_self"&amp;CHAR(34)&amp;" coords="&amp;CHAR(34)&amp;'Sh1'!B6&amp;","&amp;'Sh1'!C6&amp;","&amp;set!$A$2&amp;CHAR(34)&amp;" href="&amp;CHAR(34)&amp;set!$A$3&amp;'Sh1'!A6&amp;set!$A$4&amp;CHAR(34)&amp;" alt="&amp;CHAR(34)&amp;'Sh1'!E6&amp;CHAR(34)&amp;" title="&amp;CHAR(34)&amp;'Sh1'!D6&amp;CHAR(34)&amp;"&gt;"))</f>
        <v>&lt;area shape="circle" target="_self" coords="600,650,11" href="http://partsgowheel.ru/?s=21206TB000&amp;post_type=product&amp;type_aws=true" alt="6" title="Саморез"&gt;</v>
      </c>
      <c r="B9" s="10" t="str">
        <f>IF(ISBLANK('Sh2'!A6),("&lt;/map&gt;&lt;/div&gt;"),("&lt;area shape="&amp;CHAR(34)&amp;"circle"&amp;CHAR(34)&amp;" target="&amp;CHAR(34)&amp;"_self"&amp;CHAR(34)&amp;" coords="&amp;CHAR(34)&amp;'Sh2'!B6&amp;","&amp;'Sh2'!C6&amp;","&amp;set!$A$2&amp;CHAR(34)&amp;" href="&amp;CHAR(34)&amp;set!$A$3&amp;'Sh2'!A6&amp;set!$A$4&amp;CHAR(34)&amp;" alt="&amp;CHAR(34)&amp;'Sh2'!E6&amp;CHAR(34)&amp;" title="&amp;CHAR(34)&amp;'Sh2'!D6&amp;CHAR(34)&amp;"&gt;"))</f>
        <v>&lt;area shape="circle" target="_self" coords="1300,1350,11" href="http://partsgowheel.ru/?s=21213TB000&amp;post_type=product&amp;type_aws=true" alt="6" title="Болт"&gt;</v>
      </c>
      <c r="C9" t="str">
        <f>IF(ISBLANK('Sh3'!A6),("&lt;/map&gt;&lt;/div&gt;"),("&lt;area shape="&amp;CHAR(34)&amp;"circle"&amp;CHAR(34)&amp;" target="&amp;CHAR(34)&amp;"_self"&amp;CHAR(34)&amp;" coords="&amp;CHAR(34)&amp;'Sh3'!B6&amp;","&amp;'Sh3'!C6&amp;","&amp;set!$A$2&amp;CHAR(34)&amp;" href="&amp;CHAR(34)&amp;set!$A$3&amp;'Sh3'!A6&amp;set!$A$4&amp;CHAR(34)&amp;" alt="&amp;CHAR(34)&amp;'Sh3'!E6&amp;CHAR(34)&amp;" title="&amp;CHAR(34)&amp;'Sh3'!D6&amp;CHAR(34)&amp;"&gt;"))</f>
        <v>&lt;area shape="circle" target="_self" coords="600,650,11" href="http://partsgowheel.ru/?s=21206TB000&amp;post_type=product&amp;type_aws=true" alt="6" title="Саморез"&gt;</v>
      </c>
      <c r="D9" t="str">
        <f>IF(ISBLANK('Sh4'!A6),("&lt;/map&gt;&lt;/div&gt;"),("&lt;area shape="&amp;CHAR(34)&amp;"circle"&amp;CHAR(34)&amp;" target="&amp;CHAR(34)&amp;"_self"&amp;CHAR(34)&amp;" coords="&amp;CHAR(34)&amp;'Sh4'!B6&amp;","&amp;'Sh4'!C6&amp;","&amp;set!$A$2&amp;CHAR(34)&amp;" href="&amp;CHAR(34)&amp;set!$A$3&amp;'Sh4'!A6&amp;set!$A$4&amp;CHAR(34)&amp;" alt="&amp;CHAR(34)&amp;'Sh4'!E6&amp;CHAR(34)&amp;" title="&amp;CHAR(34)&amp;'Sh4'!D6&amp;CHAR(34)&amp;"&gt;"))</f>
        <v>&lt;area shape="circle" target="_self" coords="600,650,11" href="http://partsgowheel.ru/?s=21206TB000&amp;post_type=product&amp;type_aws=true" alt="6" title="Саморез"&gt;</v>
      </c>
      <c r="E9" t="str">
        <f>IF(ISBLANK('Sh5'!A6),("&lt;/map&gt;&lt;/div&gt;"),("&lt;area shape="&amp;CHAR(34)&amp;"circle"&amp;CHAR(34)&amp;" target="&amp;CHAR(34)&amp;"_self"&amp;CHAR(34)&amp;" coords="&amp;CHAR(34)&amp;'Sh5'!B6&amp;","&amp;'Sh5'!C6&amp;","&amp;set!$A$2&amp;CHAR(34)&amp;" href="&amp;CHAR(34)&amp;set!$A$3&amp;'Sh5'!A6&amp;set!$A$4&amp;CHAR(34)&amp;" alt="&amp;CHAR(34)&amp;'Sh5'!E6&amp;CHAR(34)&amp;" title="&amp;CHAR(34)&amp;'Sh5'!D6&amp;CHAR(34)&amp;"&gt;"))</f>
        <v>&lt;area shape="circle" target="_self" coords="600,650,11" href="http://partsgowheel.ru/?s=21206TB000&amp;post_type=product&amp;type_aws=true" alt="6" title="Саморез"&gt;</v>
      </c>
      <c r="F9" t="str">
        <f>IF(ISBLANK('Sh6'!A6),("&lt;/map&gt;&lt;/div&gt;"),("&lt;area shape="&amp;CHAR(34)&amp;"circle"&amp;CHAR(34)&amp;" target="&amp;CHAR(34)&amp;"_self"&amp;CHAR(34)&amp;" coords="&amp;CHAR(34)&amp;'Sh6'!B6&amp;","&amp;'Sh6'!C6&amp;","&amp;set!$A$2&amp;CHAR(34)&amp;" href="&amp;CHAR(34)&amp;set!$A$3&amp;'Sh6'!A6&amp;set!$A$4&amp;CHAR(34)&amp;" alt="&amp;CHAR(34)&amp;'Sh6'!E6&amp;CHAR(34)&amp;" title="&amp;CHAR(34)&amp;'Sh6'!D6&amp;CHAR(34)&amp;"&gt;"))</f>
        <v>&lt;area shape="circle" target="_self" coords="600,650,11" href="http://partsgowheel.ru/?s=21206TB000&amp;post_type=product&amp;type_aws=true" alt="6" title="Саморез"&gt;</v>
      </c>
      <c r="G9" t="str">
        <f>IF(ISBLANK('Sh7'!A6),("&lt;/map&gt;&lt;/div&gt;"),("&lt;area shape="&amp;CHAR(34)&amp;"circle"&amp;CHAR(34)&amp;" target="&amp;CHAR(34)&amp;"_self"&amp;CHAR(34)&amp;" coords="&amp;CHAR(34)&amp;'Sh7'!B6&amp;","&amp;'Sh7'!C6&amp;","&amp;set!$A$2&amp;CHAR(34)&amp;" href="&amp;CHAR(34)&amp;set!$A$3&amp;'Sh7'!A6&amp;set!$A$4&amp;CHAR(34)&amp;" alt="&amp;CHAR(34)&amp;'Sh7'!E6&amp;CHAR(34)&amp;" title="&amp;CHAR(34)&amp;'Sh7'!D6&amp;CHAR(34)&amp;"&gt;"))</f>
        <v>&lt;area shape="circle" target="_self" coords="600,650,11" href="http://partsgowheel.ru/?s=21206TB000&amp;post_type=product&amp;type_aws=true" alt="6" title="Саморез"&gt;</v>
      </c>
      <c r="H9" t="str">
        <f>IF(ISBLANK('Sh8'!A6),("&lt;/map&gt;&lt;/div&gt;"),("&lt;area shape="&amp;CHAR(34)&amp;"circle"&amp;CHAR(34)&amp;" target="&amp;CHAR(34)&amp;"_self"&amp;CHAR(34)&amp;" coords="&amp;CHAR(34)&amp;'Sh8'!B6&amp;","&amp;'Sh8'!C6&amp;","&amp;set!$A$2&amp;CHAR(34)&amp;" href="&amp;CHAR(34)&amp;set!$A$3&amp;'Sh8'!A6&amp;set!$A$4&amp;CHAR(34)&amp;" alt="&amp;CHAR(34)&amp;'Sh8'!E6&amp;CHAR(34)&amp;" title="&amp;CHAR(34)&amp;'Sh8'!D6&amp;CHAR(34)&amp;"&gt;"))</f>
        <v>&lt;area shape="circle" target="_self" coords="600,650,11" href="http://partsgowheel.ru/?s=21206TB000&amp;post_type=product&amp;type_aws=true" alt="6" title="Саморез"&gt;</v>
      </c>
      <c r="I9" t="str">
        <f>IF(ISBLANK('Sh9'!A6),("&lt;/map&gt;&lt;/div&gt;"),("&lt;area shape="&amp;CHAR(34)&amp;"circle"&amp;CHAR(34)&amp;" target="&amp;CHAR(34)&amp;"_self"&amp;CHAR(34)&amp;" coords="&amp;CHAR(34)&amp;'Sh9'!B6&amp;","&amp;'Sh9'!C6&amp;","&amp;set!$A$2&amp;CHAR(34)&amp;" href="&amp;CHAR(34)&amp;set!$A$3&amp;'Sh9'!A6&amp;set!$A$4&amp;CHAR(34)&amp;" alt="&amp;CHAR(34)&amp;'Sh9'!E6&amp;CHAR(34)&amp;" title="&amp;CHAR(34)&amp;'Sh9'!D6&amp;CHAR(34)&amp;"&gt;"))</f>
        <v>&lt;area shape="circle" target="_self" coords="600,650,11" href="http://partsgowheel.ru/?s=21206TB000&amp;post_type=product&amp;type_aws=true" alt="6" title="Саморез"&gt;</v>
      </c>
      <c r="J9" t="str">
        <f>IF(ISBLANK('Sh10'!A6),("&lt;/map&gt;&lt;/div&gt;"),("&lt;area shape="&amp;CHAR(34)&amp;"circle"&amp;CHAR(34)&amp;" target="&amp;CHAR(34)&amp;"_self"&amp;CHAR(34)&amp;" coords="&amp;CHAR(34)&amp;'Sh10'!B6&amp;","&amp;'Sh10'!C6&amp;","&amp;set!$A$2&amp;CHAR(34)&amp;" href="&amp;CHAR(34)&amp;set!$A$3&amp;'Sh10'!A6&amp;set!$A$4&amp;CHAR(34)&amp;" alt="&amp;CHAR(34)&amp;'Sh10'!E6&amp;CHAR(34)&amp;" title="&amp;CHAR(34)&amp;'Sh10'!D6&amp;CHAR(34)&amp;"&gt;"))</f>
        <v>&lt;area shape="circle" target="_self" coords="600,650,11" href="http://partsgowheel.ru/?s=21206TB000&amp;post_type=product&amp;type_aws=true" alt="6" title="Саморез"&gt;</v>
      </c>
      <c r="K9" t="str">
        <f>IF(ISBLANK('Sh11'!A6),("&lt;/map&gt;&lt;/div&gt;"),("&lt;area shape="&amp;CHAR(34)&amp;"circle"&amp;CHAR(34)&amp;" target="&amp;CHAR(34)&amp;"_self"&amp;CHAR(34)&amp;" coords="&amp;CHAR(34)&amp;'Sh11'!B6&amp;","&amp;'Sh11'!C6&amp;","&amp;set!$A$2&amp;CHAR(34)&amp;" href="&amp;CHAR(34)&amp;set!$A$3&amp;'Sh11'!A6&amp;set!$A$4&amp;CHAR(34)&amp;" alt="&amp;CHAR(34)&amp;'Sh11'!E6&amp;CHAR(34)&amp;" title="&amp;CHAR(34)&amp;'Sh11'!D6&amp;CHAR(34)&amp;"&gt;"))</f>
        <v>&lt;area shape="circle" target="_self" coords="600,650,11" href="http://partsgowheel.ru/?s=21206TB000&amp;post_type=product&amp;type_aws=true" alt="6" title="Саморез"&gt;</v>
      </c>
      <c r="L9" t="str">
        <f>IF(ISBLANK('Sh12'!A6),("&lt;/map&gt;&lt;/div&gt;"),("&lt;area shape="&amp;CHAR(34)&amp;"circle"&amp;CHAR(34)&amp;" target="&amp;CHAR(34)&amp;"_self"&amp;CHAR(34)&amp;" coords="&amp;CHAR(34)&amp;'Sh12'!B6&amp;","&amp;'Sh12'!C6&amp;","&amp;set!$A$2&amp;CHAR(34)&amp;" href="&amp;CHAR(34)&amp;set!$A$3&amp;'Sh12'!A6&amp;set!$A$4&amp;CHAR(34)&amp;" alt="&amp;CHAR(34)&amp;'Sh12'!E6&amp;CHAR(34)&amp;" title="&amp;CHAR(34)&amp;'Sh12'!D6&amp;CHAR(34)&amp;"&gt;"))</f>
        <v>&lt;area shape="circle" target="_self" coords="600,650,11" href="http://partsgowheel.ru/?s=21206TB000&amp;post_type=product&amp;type_aws=true" alt="6" title="Саморез"&gt;</v>
      </c>
      <c r="M9" t="str">
        <f>IF(ISBLANK('Sh13'!A6),("&lt;/map&gt;&lt;/div&gt;"),("&lt;area shape="&amp;CHAR(34)&amp;"circle"&amp;CHAR(34)&amp;" target="&amp;CHAR(34)&amp;"_self"&amp;CHAR(34)&amp;" coords="&amp;CHAR(34)&amp;'Sh13'!B6&amp;","&amp;'Sh13'!C6&amp;","&amp;set!$A$2&amp;CHAR(34)&amp;" href="&amp;CHAR(34)&amp;set!$A$3&amp;'Sh13'!A6&amp;set!$A$4&amp;CHAR(34)&amp;" alt="&amp;CHAR(34)&amp;'Sh13'!E6&amp;CHAR(34)&amp;" title="&amp;CHAR(34)&amp;'Sh13'!D6&amp;CHAR(34)&amp;"&gt;"))</f>
        <v>&lt;area shape="circle" target="_self" coords="600,650,11" href="http://partsgowheel.ru/?s=21206TB000&amp;post_type=product&amp;type_aws=true" alt="6" title="Саморез"&gt;</v>
      </c>
      <c r="N9" t="str">
        <f>IF(ISBLANK('Sh14'!A6),("&lt;/map&gt;&lt;/div&gt;"),("&lt;area shape="&amp;CHAR(34)&amp;"circle"&amp;CHAR(34)&amp;" target="&amp;CHAR(34)&amp;"_self"&amp;CHAR(34)&amp;" coords="&amp;CHAR(34)&amp;'Sh14'!B6&amp;","&amp;'Sh14'!C6&amp;","&amp;set!$A$2&amp;CHAR(34)&amp;" href="&amp;CHAR(34)&amp;set!$A$3&amp;'Sh14'!A6&amp;set!$A$4&amp;CHAR(34)&amp;" alt="&amp;CHAR(34)&amp;'Sh14'!E6&amp;CHAR(34)&amp;" title="&amp;CHAR(34)&amp;'Sh14'!D6&amp;CHAR(34)&amp;"&gt;"))</f>
        <v>&lt;area shape="circle" target="_self" coords="600,650,11" href="http://partsgowheel.ru/?s=21206TB000&amp;post_type=product&amp;type_aws=true" alt="6" title="Саморез"&gt;</v>
      </c>
      <c r="O9" t="str">
        <f>IF(ISBLANK('Sh15'!A6),("&lt;/map&gt;&lt;/div&gt;"),("&lt;area shape="&amp;CHAR(34)&amp;"circle"&amp;CHAR(34)&amp;" target="&amp;CHAR(34)&amp;"_self"&amp;CHAR(34)&amp;" coords="&amp;CHAR(34)&amp;'Sh15'!B6&amp;","&amp;'Sh15'!C6&amp;","&amp;set!$A$2&amp;CHAR(34)&amp;" href="&amp;CHAR(34)&amp;set!$A$3&amp;'Sh15'!A6&amp;set!$A$4&amp;CHAR(34)&amp;" alt="&amp;CHAR(34)&amp;'Sh15'!E6&amp;CHAR(34)&amp;" title="&amp;CHAR(34)&amp;'Sh15'!D6&amp;CHAR(34)&amp;"&gt;"))</f>
        <v>&lt;area shape="circle" target="_self" coords="600,650,11" href="http://partsgowheel.ru/?s=21206TB000&amp;post_type=product&amp;type_aws=true" alt="6" title="Саморез"&gt;</v>
      </c>
      <c r="P9" t="str">
        <f>IF(ISBLANK('Sh16'!A6),("&lt;/map&gt;&lt;/div&gt;"),("&lt;area shape="&amp;CHAR(34)&amp;"circle"&amp;CHAR(34)&amp;" target="&amp;CHAR(34)&amp;"_self"&amp;CHAR(34)&amp;" coords="&amp;CHAR(34)&amp;'Sh16'!B6&amp;","&amp;'Sh16'!C6&amp;","&amp;set!$A$2&amp;CHAR(34)&amp;" href="&amp;CHAR(34)&amp;set!$A$3&amp;'Sh16'!A6&amp;set!$A$4&amp;CHAR(34)&amp;" alt="&amp;CHAR(34)&amp;'Sh16'!E6&amp;CHAR(34)&amp;" title="&amp;CHAR(34)&amp;'Sh16'!D6&amp;CHAR(34)&amp;"&gt;"))</f>
        <v>&lt;area shape="circle" target="_self" coords="600,650,11" href="http://partsgowheel.ru/?s=21206TB000&amp;post_type=product&amp;type_aws=true" alt="6" title="Саморез"&gt;</v>
      </c>
      <c r="Q9" t="str">
        <f>IF(ISBLANK('Sh17'!A6),("&lt;/map&gt;&lt;/div&gt;"),("&lt;area shape="&amp;CHAR(34)&amp;"circle"&amp;CHAR(34)&amp;" target="&amp;CHAR(34)&amp;"_self"&amp;CHAR(34)&amp;" coords="&amp;CHAR(34)&amp;'Sh17'!B6&amp;","&amp;'Sh17'!C6&amp;","&amp;set!$A$2&amp;CHAR(34)&amp;" href="&amp;CHAR(34)&amp;set!$A$3&amp;'Sh17'!A6&amp;set!$A$4&amp;CHAR(34)&amp;" alt="&amp;CHAR(34)&amp;'Sh17'!E6&amp;CHAR(34)&amp;" title="&amp;CHAR(34)&amp;'Sh17'!D6&amp;CHAR(34)&amp;"&gt;"))</f>
        <v>&lt;area shape="circle" target="_self" coords="600,650,11" href="http://partsgowheel.ru/?s=21206TB000&amp;post_type=product&amp;type_aws=true" alt="6" title="Саморез"&gt;</v>
      </c>
      <c r="R9" t="str">
        <f>IF(ISBLANK('Sh18'!A6),("&lt;/map&gt;&lt;/div&gt;"),("&lt;area shape="&amp;CHAR(34)&amp;"circle"&amp;CHAR(34)&amp;" target="&amp;CHAR(34)&amp;"_self"&amp;CHAR(34)&amp;" coords="&amp;CHAR(34)&amp;'Sh18'!B6&amp;","&amp;'Sh18'!C6&amp;","&amp;set!$A$2&amp;CHAR(34)&amp;" href="&amp;CHAR(34)&amp;set!$A$3&amp;'Sh18'!A6&amp;set!$A$4&amp;CHAR(34)&amp;" alt="&amp;CHAR(34)&amp;'Sh18'!E6&amp;CHAR(34)&amp;" title="&amp;CHAR(34)&amp;'Sh18'!D6&amp;CHAR(34)&amp;"&gt;"))</f>
        <v>&lt;area shape="circle" target="_self" coords="600,650,11" href="http://partsgowheel.ru/?s=21206TB000&amp;post_type=product&amp;type_aws=true" alt="6" title="Саморез"&gt;</v>
      </c>
      <c r="S9" t="str">
        <f>IF(ISBLANK('Sh19'!A6),("&lt;/map&gt;&lt;/div&gt;"),("&lt;area shape="&amp;CHAR(34)&amp;"circle"&amp;CHAR(34)&amp;" target="&amp;CHAR(34)&amp;"_self"&amp;CHAR(34)&amp;" coords="&amp;CHAR(34)&amp;'Sh19'!B6&amp;","&amp;'Sh19'!C6&amp;","&amp;set!$A$2&amp;CHAR(34)&amp;" href="&amp;CHAR(34)&amp;set!$A$3&amp;'Sh19'!A6&amp;set!$A$4&amp;CHAR(34)&amp;" alt="&amp;CHAR(34)&amp;'Sh19'!E6&amp;CHAR(34)&amp;" title="&amp;CHAR(34)&amp;'Sh19'!D6&amp;CHAR(34)&amp;"&gt;"))</f>
        <v>&lt;area shape="circle" target="_self" coords="600,650,11" href="http://partsgowheel.ru/?s=21206TB000&amp;post_type=product&amp;type_aws=true" alt="6" title="Саморез"&gt;</v>
      </c>
      <c r="T9" t="str">
        <f>IF(ISBLANK('Sh20'!A6),("&lt;/map&gt;&lt;/div&gt;"),("&lt;area shape="&amp;CHAR(34)&amp;"circle"&amp;CHAR(34)&amp;" target="&amp;CHAR(34)&amp;"_self"&amp;CHAR(34)&amp;" coords="&amp;CHAR(34)&amp;'Sh20'!B6&amp;","&amp;'Sh20'!C6&amp;","&amp;set!$A$2&amp;CHAR(34)&amp;" href="&amp;CHAR(34)&amp;set!$A$3&amp;'Sh20'!A6&amp;set!$A$4&amp;CHAR(34)&amp;" alt="&amp;CHAR(34)&amp;'Sh20'!E6&amp;CHAR(34)&amp;" title="&amp;CHAR(34)&amp;'Sh20'!D6&amp;CHAR(34)&amp;"&gt;"))</f>
        <v>&lt;area shape="circle" target="_self" coords="600,650,11" href="http://partsgowheel.ru/?s=21206TB000&amp;post_type=product&amp;type_aws=true" alt="6" title="Саморез"&gt;</v>
      </c>
      <c r="U9" t="str">
        <f>IF(ISBLANK('Sh21'!A6),("&lt;/map&gt;&lt;/div&gt;"),("&lt;area shape="&amp;CHAR(34)&amp;"circle"&amp;CHAR(34)&amp;" target="&amp;CHAR(34)&amp;"_self"&amp;CHAR(34)&amp;" coords="&amp;CHAR(34)&amp;'Sh21'!B6&amp;","&amp;'Sh21'!C6&amp;","&amp;set!$A$2&amp;CHAR(34)&amp;" href="&amp;CHAR(34)&amp;set!$A$3&amp;'Sh21'!A6&amp;set!$A$4&amp;CHAR(34)&amp;" alt="&amp;CHAR(34)&amp;'Sh21'!E6&amp;CHAR(34)&amp;" title="&amp;CHAR(34)&amp;'Sh21'!D6&amp;CHAR(34)&amp;"&gt;"))</f>
        <v>&lt;area shape="circle" target="_self" coords="600,650,11" href="http://partsgowheel.ru/?s=21206TB000&amp;post_type=product&amp;type_aws=true" alt="6" title="Саморез"&gt;</v>
      </c>
      <c r="V9" s="6" t="s">
        <v>99</v>
      </c>
      <c r="W9" s="6"/>
      <c r="X9" s="6" t="s">
        <v>80</v>
      </c>
    </row>
    <row r="10" spans="1:24" x14ac:dyDescent="0.25">
      <c r="A10" s="10" t="str">
        <f>IF(ISBLANK('Sh1'!A7),("&lt;/map&gt;&lt;/div&gt;"),("&lt;area shape="&amp;CHAR(34)&amp;"circle"&amp;CHAR(34)&amp;" target="&amp;CHAR(34)&amp;"_self"&amp;CHAR(34)&amp;" coords="&amp;CHAR(34)&amp;'Sh1'!B7&amp;","&amp;'Sh1'!C7&amp;","&amp;set!$A$2&amp;CHAR(34)&amp;" href="&amp;CHAR(34)&amp;set!$A$3&amp;'Sh1'!A7&amp;set!$A$4&amp;CHAR(34)&amp;" alt="&amp;CHAR(34)&amp;'Sh1'!E7&amp;CHAR(34)&amp;" title="&amp;CHAR(34)&amp;'Sh1'!D7&amp;CHAR(34)&amp;"&gt;"))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B10" s="10" t="str">
        <f>IF(ISBLANK('Sh2'!A7),("&lt;/map&gt;&lt;/div&gt;"),("&lt;area shape="&amp;CHAR(34)&amp;"circle"&amp;CHAR(34)&amp;" target="&amp;CHAR(34)&amp;"_self"&amp;CHAR(34)&amp;" coords="&amp;CHAR(34)&amp;'Sh2'!B7&amp;","&amp;'Sh2'!C7&amp;","&amp;set!$A$2&amp;CHAR(34)&amp;" href="&amp;CHAR(34)&amp;set!$A$3&amp;'Sh2'!A7&amp;set!$A$4&amp;CHAR(34)&amp;" alt="&amp;CHAR(34)&amp;'Sh2'!E7&amp;CHAR(34)&amp;" title="&amp;CHAR(34)&amp;'Sh2'!D7&amp;CHAR(34)&amp;"&gt;"))</f>
        <v>&lt;area shape="circle" target="_self" coords="1400,1450,11" href="http://partsgowheel.ru/?s=21214TB000&amp;post_type=product&amp;type_aws=true" alt="7" title="Гайка"&gt;</v>
      </c>
      <c r="C10" t="str">
        <f>IF(ISBLANK('Sh3'!A7),("&lt;/map&gt;&lt;/div&gt;"),("&lt;area shape="&amp;CHAR(34)&amp;"circle"&amp;CHAR(34)&amp;" target="&amp;CHAR(34)&amp;"_self"&amp;CHAR(34)&amp;" coords="&amp;CHAR(34)&amp;'Sh3'!B7&amp;","&amp;'Sh3'!C7&amp;","&amp;set!$A$2&amp;CHAR(34)&amp;" href="&amp;CHAR(34)&amp;set!$A$3&amp;'Sh3'!A7&amp;set!$A$4&amp;CHAR(34)&amp;" alt="&amp;CHAR(34)&amp;'Sh3'!E7&amp;CHAR(34)&amp;" title="&amp;CHAR(34)&amp;'Sh3'!D7&amp;CHAR(34)&amp;"&gt;"))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D10" t="str">
        <f>IF(ISBLANK('Sh4'!A7),("&lt;/map&gt;&lt;/div&gt;"),("&lt;area shape="&amp;CHAR(34)&amp;"circle"&amp;CHAR(34)&amp;" target="&amp;CHAR(34)&amp;"_self"&amp;CHAR(34)&amp;" coords="&amp;CHAR(34)&amp;'Sh4'!B7&amp;","&amp;'Sh4'!C7&amp;","&amp;set!$A$2&amp;CHAR(34)&amp;" href="&amp;CHAR(34)&amp;set!$A$3&amp;'Sh4'!A7&amp;set!$A$4&amp;CHAR(34)&amp;" alt="&amp;CHAR(34)&amp;'Sh4'!E7&amp;CHAR(34)&amp;" title="&amp;CHAR(34)&amp;'Sh4'!D7&amp;CHAR(34)&amp;"&gt;"))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E10" t="str">
        <f>IF(ISBLANK('Sh5'!A7),("&lt;/map&gt;&lt;/div&gt;"),("&lt;area shape="&amp;CHAR(34)&amp;"circle"&amp;CHAR(34)&amp;" target="&amp;CHAR(34)&amp;"_self"&amp;CHAR(34)&amp;" coords="&amp;CHAR(34)&amp;'Sh5'!B7&amp;","&amp;'Sh5'!C7&amp;","&amp;set!$A$2&amp;CHAR(34)&amp;" href="&amp;CHAR(34)&amp;set!$A$3&amp;'Sh5'!A7&amp;set!$A$4&amp;CHAR(34)&amp;" alt="&amp;CHAR(34)&amp;'Sh5'!E7&amp;CHAR(34)&amp;" title="&amp;CHAR(34)&amp;'Sh5'!D7&amp;CHAR(34)&amp;"&gt;"))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F10" t="str">
        <f>IF(ISBLANK('Sh6'!A7),("&lt;/map&gt;&lt;/div&gt;"),("&lt;area shape="&amp;CHAR(34)&amp;"circle"&amp;CHAR(34)&amp;" target="&amp;CHAR(34)&amp;"_self"&amp;CHAR(34)&amp;" coords="&amp;CHAR(34)&amp;'Sh6'!B7&amp;","&amp;'Sh6'!C7&amp;","&amp;set!$A$2&amp;CHAR(34)&amp;" href="&amp;CHAR(34)&amp;set!$A$3&amp;'Sh6'!A7&amp;set!$A$4&amp;CHAR(34)&amp;" alt="&amp;CHAR(34)&amp;'Sh6'!E7&amp;CHAR(34)&amp;" title="&amp;CHAR(34)&amp;'Sh6'!D7&amp;CHAR(34)&amp;"&gt;"))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G10" t="str">
        <f>IF(ISBLANK('Sh7'!A7),("&lt;/map&gt;&lt;/div&gt;"),("&lt;area shape="&amp;CHAR(34)&amp;"circle"&amp;CHAR(34)&amp;" target="&amp;CHAR(34)&amp;"_self"&amp;CHAR(34)&amp;" coords="&amp;CHAR(34)&amp;'Sh7'!B7&amp;","&amp;'Sh7'!C7&amp;","&amp;set!$A$2&amp;CHAR(34)&amp;" href="&amp;CHAR(34)&amp;set!$A$3&amp;'Sh7'!A7&amp;set!$A$4&amp;CHAR(34)&amp;" alt="&amp;CHAR(34)&amp;'Sh7'!E7&amp;CHAR(34)&amp;" title="&amp;CHAR(34)&amp;'Sh7'!D7&amp;CHAR(34)&amp;"&gt;"))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H10" t="str">
        <f>IF(ISBLANK('Sh8'!A7),("&lt;/map&gt;&lt;/div&gt;"),("&lt;area shape="&amp;CHAR(34)&amp;"circle"&amp;CHAR(34)&amp;" target="&amp;CHAR(34)&amp;"_self"&amp;CHAR(34)&amp;" coords="&amp;CHAR(34)&amp;'Sh8'!B7&amp;","&amp;'Sh8'!C7&amp;","&amp;set!$A$2&amp;CHAR(34)&amp;" href="&amp;CHAR(34)&amp;set!$A$3&amp;'Sh8'!A7&amp;set!$A$4&amp;CHAR(34)&amp;" alt="&amp;CHAR(34)&amp;'Sh8'!E7&amp;CHAR(34)&amp;" title="&amp;CHAR(34)&amp;'Sh8'!D7&amp;CHAR(34)&amp;"&gt;"))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I10" t="str">
        <f>IF(ISBLANK('Sh9'!A7),("&lt;/map&gt;&lt;/div&gt;"),("&lt;area shape="&amp;CHAR(34)&amp;"circle"&amp;CHAR(34)&amp;" target="&amp;CHAR(34)&amp;"_self"&amp;CHAR(34)&amp;" coords="&amp;CHAR(34)&amp;'Sh9'!B7&amp;","&amp;'Sh9'!C7&amp;","&amp;set!$A$2&amp;CHAR(34)&amp;" href="&amp;CHAR(34)&amp;set!$A$3&amp;'Sh9'!A7&amp;set!$A$4&amp;CHAR(34)&amp;" alt="&amp;CHAR(34)&amp;'Sh9'!E7&amp;CHAR(34)&amp;" title="&amp;CHAR(34)&amp;'Sh9'!D7&amp;CHAR(34)&amp;"&gt;"))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J10" t="str">
        <f>IF(ISBLANK('Sh10'!A7),("&lt;/map&gt;&lt;/div&gt;"),("&lt;area shape="&amp;CHAR(34)&amp;"circle"&amp;CHAR(34)&amp;" target="&amp;CHAR(34)&amp;"_self"&amp;CHAR(34)&amp;" coords="&amp;CHAR(34)&amp;'Sh10'!B7&amp;","&amp;'Sh10'!C7&amp;","&amp;set!$A$2&amp;CHAR(34)&amp;" href="&amp;CHAR(34)&amp;set!$A$3&amp;'Sh10'!A7&amp;set!$A$4&amp;CHAR(34)&amp;" alt="&amp;CHAR(34)&amp;'Sh10'!E7&amp;CHAR(34)&amp;" title="&amp;CHAR(34)&amp;'Sh10'!D7&amp;CHAR(34)&amp;"&gt;"))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K10" t="str">
        <f>IF(ISBLANK('Sh11'!A7),("&lt;/map&gt;&lt;/div&gt;"),("&lt;area shape="&amp;CHAR(34)&amp;"circle"&amp;CHAR(34)&amp;" target="&amp;CHAR(34)&amp;"_self"&amp;CHAR(34)&amp;" coords="&amp;CHAR(34)&amp;'Sh11'!B7&amp;","&amp;'Sh11'!C7&amp;","&amp;set!$A$2&amp;CHAR(34)&amp;" href="&amp;CHAR(34)&amp;set!$A$3&amp;'Sh11'!A7&amp;set!$A$4&amp;CHAR(34)&amp;" alt="&amp;CHAR(34)&amp;'Sh11'!E7&amp;CHAR(34)&amp;" title="&amp;CHAR(34)&amp;'Sh11'!D7&amp;CHAR(34)&amp;"&gt;"))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L10" t="str">
        <f>IF(ISBLANK('Sh12'!A7),("&lt;/map&gt;&lt;/div&gt;"),("&lt;area shape="&amp;CHAR(34)&amp;"circle"&amp;CHAR(34)&amp;" target="&amp;CHAR(34)&amp;"_self"&amp;CHAR(34)&amp;" coords="&amp;CHAR(34)&amp;'Sh12'!B7&amp;","&amp;'Sh12'!C7&amp;","&amp;set!$A$2&amp;CHAR(34)&amp;" href="&amp;CHAR(34)&amp;set!$A$3&amp;'Sh12'!A7&amp;set!$A$4&amp;CHAR(34)&amp;" alt="&amp;CHAR(34)&amp;'Sh12'!E7&amp;CHAR(34)&amp;" title="&amp;CHAR(34)&amp;'Sh12'!D7&amp;CHAR(34)&amp;"&gt;"))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M10" t="str">
        <f>IF(ISBLANK('Sh13'!A7),("&lt;/map&gt;&lt;/div&gt;"),("&lt;area shape="&amp;CHAR(34)&amp;"circle"&amp;CHAR(34)&amp;" target="&amp;CHAR(34)&amp;"_self"&amp;CHAR(34)&amp;" coords="&amp;CHAR(34)&amp;'Sh13'!B7&amp;","&amp;'Sh13'!C7&amp;","&amp;set!$A$2&amp;CHAR(34)&amp;" href="&amp;CHAR(34)&amp;set!$A$3&amp;'Sh13'!A7&amp;set!$A$4&amp;CHAR(34)&amp;" alt="&amp;CHAR(34)&amp;'Sh13'!E7&amp;CHAR(34)&amp;" title="&amp;CHAR(34)&amp;'Sh13'!D7&amp;CHAR(34)&amp;"&gt;"))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N10" t="str">
        <f>IF(ISBLANK('Sh14'!A7),("&lt;/map&gt;&lt;/div&gt;"),("&lt;area shape="&amp;CHAR(34)&amp;"circle"&amp;CHAR(34)&amp;" target="&amp;CHAR(34)&amp;"_self"&amp;CHAR(34)&amp;" coords="&amp;CHAR(34)&amp;'Sh14'!B7&amp;","&amp;'Sh14'!C7&amp;","&amp;set!$A$2&amp;CHAR(34)&amp;" href="&amp;CHAR(34)&amp;set!$A$3&amp;'Sh14'!A7&amp;set!$A$4&amp;CHAR(34)&amp;" alt="&amp;CHAR(34)&amp;'Sh14'!E7&amp;CHAR(34)&amp;" title="&amp;CHAR(34)&amp;'Sh14'!D7&amp;CHAR(34)&amp;"&gt;"))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O10" t="str">
        <f>IF(ISBLANK('Sh15'!A7),("&lt;/map&gt;&lt;/div&gt;"),("&lt;area shape="&amp;CHAR(34)&amp;"circle"&amp;CHAR(34)&amp;" target="&amp;CHAR(34)&amp;"_self"&amp;CHAR(34)&amp;" coords="&amp;CHAR(34)&amp;'Sh15'!B7&amp;","&amp;'Sh15'!C7&amp;","&amp;set!$A$2&amp;CHAR(34)&amp;" href="&amp;CHAR(34)&amp;set!$A$3&amp;'Sh15'!A7&amp;set!$A$4&amp;CHAR(34)&amp;" alt="&amp;CHAR(34)&amp;'Sh15'!E7&amp;CHAR(34)&amp;" title="&amp;CHAR(34)&amp;'Sh15'!D7&amp;CHAR(34)&amp;"&gt;"))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P10" t="str">
        <f>IF(ISBLANK('Sh16'!A7),("&lt;/map&gt;&lt;/div&gt;"),("&lt;area shape="&amp;CHAR(34)&amp;"circle"&amp;CHAR(34)&amp;" target="&amp;CHAR(34)&amp;"_self"&amp;CHAR(34)&amp;" coords="&amp;CHAR(34)&amp;'Sh16'!B7&amp;","&amp;'Sh16'!C7&amp;","&amp;set!$A$2&amp;CHAR(34)&amp;" href="&amp;CHAR(34)&amp;set!$A$3&amp;'Sh16'!A7&amp;set!$A$4&amp;CHAR(34)&amp;" alt="&amp;CHAR(34)&amp;'Sh16'!E7&amp;CHAR(34)&amp;" title="&amp;CHAR(34)&amp;'Sh16'!D7&amp;CHAR(34)&amp;"&gt;"))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Q10" t="str">
        <f>IF(ISBLANK('Sh17'!A7),("&lt;/map&gt;&lt;/div&gt;"),("&lt;area shape="&amp;CHAR(34)&amp;"circle"&amp;CHAR(34)&amp;" target="&amp;CHAR(34)&amp;"_self"&amp;CHAR(34)&amp;" coords="&amp;CHAR(34)&amp;'Sh17'!B7&amp;","&amp;'Sh17'!C7&amp;","&amp;set!$A$2&amp;CHAR(34)&amp;" href="&amp;CHAR(34)&amp;set!$A$3&amp;'Sh17'!A7&amp;set!$A$4&amp;CHAR(34)&amp;" alt="&amp;CHAR(34)&amp;'Sh17'!E7&amp;CHAR(34)&amp;" title="&amp;CHAR(34)&amp;'Sh17'!D7&amp;CHAR(34)&amp;"&gt;"))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R10" t="str">
        <f>IF(ISBLANK('Sh18'!A7),("&lt;/map&gt;&lt;/div&gt;"),("&lt;area shape="&amp;CHAR(34)&amp;"circle"&amp;CHAR(34)&amp;" target="&amp;CHAR(34)&amp;"_self"&amp;CHAR(34)&amp;" coords="&amp;CHAR(34)&amp;'Sh18'!B7&amp;","&amp;'Sh18'!C7&amp;","&amp;set!$A$2&amp;CHAR(34)&amp;" href="&amp;CHAR(34)&amp;set!$A$3&amp;'Sh18'!A7&amp;set!$A$4&amp;CHAR(34)&amp;" alt="&amp;CHAR(34)&amp;'Sh18'!E7&amp;CHAR(34)&amp;" title="&amp;CHAR(34)&amp;'Sh18'!D7&amp;CHAR(34)&amp;"&gt;"))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S10" t="str">
        <f>IF(ISBLANK('Sh19'!A7),("&lt;/map&gt;&lt;/div&gt;"),("&lt;area shape="&amp;CHAR(34)&amp;"circle"&amp;CHAR(34)&amp;" target="&amp;CHAR(34)&amp;"_self"&amp;CHAR(34)&amp;" coords="&amp;CHAR(34)&amp;'Sh19'!B7&amp;","&amp;'Sh19'!C7&amp;","&amp;set!$A$2&amp;CHAR(34)&amp;" href="&amp;CHAR(34)&amp;set!$A$3&amp;'Sh19'!A7&amp;set!$A$4&amp;CHAR(34)&amp;" alt="&amp;CHAR(34)&amp;'Sh19'!E7&amp;CHAR(34)&amp;" title="&amp;CHAR(34)&amp;'Sh19'!D7&amp;CHAR(34)&amp;"&gt;"))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T10" t="str">
        <f>IF(ISBLANK('Sh20'!A7),("&lt;/map&gt;&lt;/div&gt;"),("&lt;area shape="&amp;CHAR(34)&amp;"circle"&amp;CHAR(34)&amp;" target="&amp;CHAR(34)&amp;"_self"&amp;CHAR(34)&amp;" coords="&amp;CHAR(34)&amp;'Sh20'!B7&amp;","&amp;'Sh20'!C7&amp;","&amp;set!$A$2&amp;CHAR(34)&amp;" href="&amp;CHAR(34)&amp;set!$A$3&amp;'Sh20'!A7&amp;set!$A$4&amp;CHAR(34)&amp;" alt="&amp;CHAR(34)&amp;'Sh20'!E7&amp;CHAR(34)&amp;" title="&amp;CHAR(34)&amp;'Sh20'!D7&amp;CHAR(34)&amp;"&gt;"))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U10" t="str">
        <f>IF(ISBLANK('Sh21'!A7),("&lt;/map&gt;&lt;/div&gt;"),("&lt;area shape="&amp;CHAR(34)&amp;"circle"&amp;CHAR(34)&amp;" target="&amp;CHAR(34)&amp;"_self"&amp;CHAR(34)&amp;" coords="&amp;CHAR(34)&amp;'Sh21'!B7&amp;","&amp;'Sh21'!C7&amp;","&amp;set!$A$2&amp;CHAR(34)&amp;" href="&amp;CHAR(34)&amp;set!$A$3&amp;'Sh21'!A7&amp;set!$A$4&amp;CHAR(34)&amp;" alt="&amp;CHAR(34)&amp;'Sh21'!E7&amp;CHAR(34)&amp;" title="&amp;CHAR(34)&amp;'Sh21'!D7&amp;CHAR(34)&amp;"&gt;"))</f>
        <v>&lt;area shape="circle" target="_self" coords="700,750,11" href="http://partsgowheel.ru/?s=21207TB000&amp;post_type=product&amp;type_aws=true" alt="7" title="Плата консоли электронная"&gt;</v>
      </c>
      <c r="V10" s="6" t="s">
        <v>80</v>
      </c>
      <c r="W10" s="6"/>
      <c r="X10" s="6" t="s">
        <v>81</v>
      </c>
    </row>
    <row r="11" spans="1:24" x14ac:dyDescent="0.25">
      <c r="A11" s="10" t="str">
        <f>IF(ISBLANK('Sh1'!A8),("&lt;/map&gt;&lt;/div&gt;"),("&lt;area shape="&amp;CHAR(34)&amp;"circle"&amp;CHAR(34)&amp;" target="&amp;CHAR(34)&amp;"_self"&amp;CHAR(34)&amp;" coords="&amp;CHAR(34)&amp;'Sh1'!B8&amp;","&amp;'Sh1'!C8&amp;","&amp;set!$A$2&amp;CHAR(34)&amp;" href="&amp;CHAR(34)&amp;set!$A$3&amp;'Sh1'!A8&amp;set!$A$4&amp;CHAR(34)&amp;" alt="&amp;CHAR(34)&amp;'Sh1'!E8&amp;CHAR(34)&amp;" title="&amp;CHAR(34)&amp;'Sh1'!D8&amp;CHAR(34)&amp;"&gt;"))</f>
        <v>&lt;/map&gt;&lt;/div&gt;</v>
      </c>
      <c r="B11" s="10" t="str">
        <f>IF(ISBLANK('Sh2'!A8),("&lt;/map&gt;&lt;/div&gt;"),("&lt;area shape="&amp;CHAR(34)&amp;"circle"&amp;CHAR(34)&amp;" target="&amp;CHAR(34)&amp;"_self"&amp;CHAR(34)&amp;" coords="&amp;CHAR(34)&amp;'Sh2'!B8&amp;","&amp;'Sh2'!C8&amp;","&amp;set!$A$2&amp;CHAR(34)&amp;" href="&amp;CHAR(34)&amp;set!$A$3&amp;'Sh2'!A8&amp;set!$A$4&amp;CHAR(34)&amp;" alt="&amp;CHAR(34)&amp;'Sh2'!E8&amp;CHAR(34)&amp;" title="&amp;CHAR(34)&amp;'Sh2'!D8&amp;CHAR(34)&amp;"&gt;"))</f>
        <v>&lt;/map&gt;&lt;/div&gt;</v>
      </c>
      <c r="C11" t="str">
        <f>IF(ISBLANK('Sh3'!A8),("&lt;/map&gt;&lt;/div&gt;"),("&lt;area shape="&amp;CHAR(34)&amp;"circle"&amp;CHAR(34)&amp;" target="&amp;CHAR(34)&amp;"_self"&amp;CHAR(34)&amp;" coords="&amp;CHAR(34)&amp;'Sh3'!B8&amp;","&amp;'Sh3'!C8&amp;","&amp;set!$A$2&amp;CHAR(34)&amp;" href="&amp;CHAR(34)&amp;set!$A$3&amp;'Sh3'!A8&amp;set!$A$4&amp;CHAR(34)&amp;" alt="&amp;CHAR(34)&amp;'Sh3'!E8&amp;CHAR(34)&amp;" title="&amp;CHAR(34)&amp;'Sh3'!D8&amp;CHAR(34)&amp;"&gt;"))</f>
        <v>&lt;/map&gt;&lt;/div&gt;</v>
      </c>
      <c r="D11" t="str">
        <f>IF(ISBLANK('Sh4'!A8),("&lt;/map&gt;&lt;/div&gt;"),("&lt;area shape="&amp;CHAR(34)&amp;"circle"&amp;CHAR(34)&amp;" target="&amp;CHAR(34)&amp;"_self"&amp;CHAR(34)&amp;" coords="&amp;CHAR(34)&amp;'Sh4'!B8&amp;","&amp;'Sh4'!C8&amp;","&amp;set!$A$2&amp;CHAR(34)&amp;" href="&amp;CHAR(34)&amp;set!$A$3&amp;'Sh4'!A8&amp;set!$A$4&amp;CHAR(34)&amp;" alt="&amp;CHAR(34)&amp;'Sh4'!E8&amp;CHAR(34)&amp;" title="&amp;CHAR(34)&amp;'Sh4'!D8&amp;CHAR(34)&amp;"&gt;"))</f>
        <v>&lt;/map&gt;&lt;/div&gt;</v>
      </c>
      <c r="E11" t="str">
        <f>IF(ISBLANK('Sh5'!A8),("&lt;/map&gt;&lt;/div&gt;"),("&lt;area shape="&amp;CHAR(34)&amp;"circle"&amp;CHAR(34)&amp;" target="&amp;CHAR(34)&amp;"_self"&amp;CHAR(34)&amp;" coords="&amp;CHAR(34)&amp;'Sh5'!B8&amp;","&amp;'Sh5'!C8&amp;","&amp;set!$A$2&amp;CHAR(34)&amp;" href="&amp;CHAR(34)&amp;set!$A$3&amp;'Sh5'!A8&amp;set!$A$4&amp;CHAR(34)&amp;" alt="&amp;CHAR(34)&amp;'Sh5'!E8&amp;CHAR(34)&amp;" title="&amp;CHAR(34)&amp;'Sh5'!D8&amp;CHAR(34)&amp;"&gt;"))</f>
        <v>&lt;/map&gt;&lt;/div&gt;</v>
      </c>
      <c r="F11" t="str">
        <f>IF(ISBLANK('Sh6'!A8),("&lt;/map&gt;&lt;/div&gt;"),("&lt;area shape="&amp;CHAR(34)&amp;"circle"&amp;CHAR(34)&amp;" target="&amp;CHAR(34)&amp;"_self"&amp;CHAR(34)&amp;" coords="&amp;CHAR(34)&amp;'Sh6'!B8&amp;","&amp;'Sh6'!C8&amp;","&amp;set!$A$2&amp;CHAR(34)&amp;" href="&amp;CHAR(34)&amp;set!$A$3&amp;'Sh6'!A8&amp;set!$A$4&amp;CHAR(34)&amp;" alt="&amp;CHAR(34)&amp;'Sh6'!E8&amp;CHAR(34)&amp;" title="&amp;CHAR(34)&amp;'Sh6'!D8&amp;CHAR(34)&amp;"&gt;"))</f>
        <v>&lt;/map&gt;&lt;/div&gt;</v>
      </c>
      <c r="G11" t="str">
        <f>IF(ISBLANK('Sh7'!A8),("&lt;/map&gt;&lt;/div&gt;"),("&lt;area shape="&amp;CHAR(34)&amp;"circle"&amp;CHAR(34)&amp;" target="&amp;CHAR(34)&amp;"_self"&amp;CHAR(34)&amp;" coords="&amp;CHAR(34)&amp;'Sh7'!B8&amp;","&amp;'Sh7'!C8&amp;","&amp;set!$A$2&amp;CHAR(34)&amp;" href="&amp;CHAR(34)&amp;set!$A$3&amp;'Sh7'!A8&amp;set!$A$4&amp;CHAR(34)&amp;" alt="&amp;CHAR(34)&amp;'Sh7'!E8&amp;CHAR(34)&amp;" title="&amp;CHAR(34)&amp;'Sh7'!D8&amp;CHAR(34)&amp;"&gt;"))</f>
        <v>&lt;/map&gt;&lt;/div&gt;</v>
      </c>
      <c r="H11" t="str">
        <f>IF(ISBLANK('Sh8'!A8),("&lt;/map&gt;&lt;/div&gt;"),("&lt;area shape="&amp;CHAR(34)&amp;"circle"&amp;CHAR(34)&amp;" target="&amp;CHAR(34)&amp;"_self"&amp;CHAR(34)&amp;" coords="&amp;CHAR(34)&amp;'Sh8'!B8&amp;","&amp;'Sh8'!C8&amp;","&amp;set!$A$2&amp;CHAR(34)&amp;" href="&amp;CHAR(34)&amp;set!$A$3&amp;'Sh8'!A8&amp;set!$A$4&amp;CHAR(34)&amp;" alt="&amp;CHAR(34)&amp;'Sh8'!E8&amp;CHAR(34)&amp;" title="&amp;CHAR(34)&amp;'Sh8'!D8&amp;CHAR(34)&amp;"&gt;"))</f>
        <v>&lt;/map&gt;&lt;/div&gt;</v>
      </c>
      <c r="I11" t="str">
        <f>IF(ISBLANK('Sh9'!A8),("&lt;/map&gt;&lt;/div&gt;"),("&lt;area shape="&amp;CHAR(34)&amp;"circle"&amp;CHAR(34)&amp;" target="&amp;CHAR(34)&amp;"_self"&amp;CHAR(34)&amp;" coords="&amp;CHAR(34)&amp;'Sh9'!B8&amp;","&amp;'Sh9'!C8&amp;","&amp;set!$A$2&amp;CHAR(34)&amp;" href="&amp;CHAR(34)&amp;set!$A$3&amp;'Sh9'!A8&amp;set!$A$4&amp;CHAR(34)&amp;" alt="&amp;CHAR(34)&amp;'Sh9'!E8&amp;CHAR(34)&amp;" title="&amp;CHAR(34)&amp;'Sh9'!D8&amp;CHAR(34)&amp;"&gt;"))</f>
        <v>&lt;/map&gt;&lt;/div&gt;</v>
      </c>
      <c r="J11" t="str">
        <f>IF(ISBLANK('Sh10'!A8),("&lt;/map&gt;&lt;/div&gt;"),("&lt;area shape="&amp;CHAR(34)&amp;"circle"&amp;CHAR(34)&amp;" target="&amp;CHAR(34)&amp;"_self"&amp;CHAR(34)&amp;" coords="&amp;CHAR(34)&amp;'Sh10'!B8&amp;","&amp;'Sh10'!C8&amp;","&amp;set!$A$2&amp;CHAR(34)&amp;" href="&amp;CHAR(34)&amp;set!$A$3&amp;'Sh10'!A8&amp;set!$A$4&amp;CHAR(34)&amp;" alt="&amp;CHAR(34)&amp;'Sh10'!E8&amp;CHAR(34)&amp;" title="&amp;CHAR(34)&amp;'Sh10'!D8&amp;CHAR(34)&amp;"&gt;"))</f>
        <v>&lt;/map&gt;&lt;/div&gt;</v>
      </c>
      <c r="K11" t="str">
        <f>IF(ISBLANK('Sh11'!A8),("&lt;/map&gt;&lt;/div&gt;"),("&lt;area shape="&amp;CHAR(34)&amp;"circle"&amp;CHAR(34)&amp;" target="&amp;CHAR(34)&amp;"_self"&amp;CHAR(34)&amp;" coords="&amp;CHAR(34)&amp;'Sh11'!B8&amp;","&amp;'Sh11'!C8&amp;","&amp;set!$A$2&amp;CHAR(34)&amp;" href="&amp;CHAR(34)&amp;set!$A$3&amp;'Sh11'!A8&amp;set!$A$4&amp;CHAR(34)&amp;" alt="&amp;CHAR(34)&amp;'Sh11'!E8&amp;CHAR(34)&amp;" title="&amp;CHAR(34)&amp;'Sh11'!D8&amp;CHAR(34)&amp;"&gt;"))</f>
        <v>&lt;/map&gt;&lt;/div&gt;</v>
      </c>
      <c r="L11" t="str">
        <f>IF(ISBLANK('Sh12'!A8),("&lt;/map&gt;&lt;/div&gt;"),("&lt;area shape="&amp;CHAR(34)&amp;"circle"&amp;CHAR(34)&amp;" target="&amp;CHAR(34)&amp;"_self"&amp;CHAR(34)&amp;" coords="&amp;CHAR(34)&amp;'Sh12'!B8&amp;","&amp;'Sh12'!C8&amp;","&amp;set!$A$2&amp;CHAR(34)&amp;" href="&amp;CHAR(34)&amp;set!$A$3&amp;'Sh12'!A8&amp;set!$A$4&amp;CHAR(34)&amp;" alt="&amp;CHAR(34)&amp;'Sh12'!E8&amp;CHAR(34)&amp;" title="&amp;CHAR(34)&amp;'Sh12'!D8&amp;CHAR(34)&amp;"&gt;"))</f>
        <v>&lt;/map&gt;&lt;/div&gt;</v>
      </c>
      <c r="M11" t="str">
        <f>IF(ISBLANK('Sh13'!A8),("&lt;/map&gt;&lt;/div&gt;"),("&lt;area shape="&amp;CHAR(34)&amp;"circle"&amp;CHAR(34)&amp;" target="&amp;CHAR(34)&amp;"_self"&amp;CHAR(34)&amp;" coords="&amp;CHAR(34)&amp;'Sh13'!B8&amp;","&amp;'Sh13'!C8&amp;","&amp;set!$A$2&amp;CHAR(34)&amp;" href="&amp;CHAR(34)&amp;set!$A$3&amp;'Sh13'!A8&amp;set!$A$4&amp;CHAR(34)&amp;" alt="&amp;CHAR(34)&amp;'Sh13'!E8&amp;CHAR(34)&amp;" title="&amp;CHAR(34)&amp;'Sh13'!D8&amp;CHAR(34)&amp;"&gt;"))</f>
        <v>&lt;/map&gt;&lt;/div&gt;</v>
      </c>
      <c r="N11" t="str">
        <f>IF(ISBLANK('Sh14'!A8),("&lt;/map&gt;&lt;/div&gt;"),("&lt;area shape="&amp;CHAR(34)&amp;"circle"&amp;CHAR(34)&amp;" target="&amp;CHAR(34)&amp;"_self"&amp;CHAR(34)&amp;" coords="&amp;CHAR(34)&amp;'Sh14'!B8&amp;","&amp;'Sh14'!C8&amp;","&amp;set!$A$2&amp;CHAR(34)&amp;" href="&amp;CHAR(34)&amp;set!$A$3&amp;'Sh14'!A8&amp;set!$A$4&amp;CHAR(34)&amp;" alt="&amp;CHAR(34)&amp;'Sh14'!E8&amp;CHAR(34)&amp;" title="&amp;CHAR(34)&amp;'Sh14'!D8&amp;CHAR(34)&amp;"&gt;"))</f>
        <v>&lt;/map&gt;&lt;/div&gt;</v>
      </c>
      <c r="O11" t="str">
        <f>IF(ISBLANK('Sh15'!A8),("&lt;/map&gt;&lt;/div&gt;"),("&lt;area shape="&amp;CHAR(34)&amp;"circle"&amp;CHAR(34)&amp;" target="&amp;CHAR(34)&amp;"_self"&amp;CHAR(34)&amp;" coords="&amp;CHAR(34)&amp;'Sh15'!B8&amp;","&amp;'Sh15'!C8&amp;","&amp;set!$A$2&amp;CHAR(34)&amp;" href="&amp;CHAR(34)&amp;set!$A$3&amp;'Sh15'!A8&amp;set!$A$4&amp;CHAR(34)&amp;" alt="&amp;CHAR(34)&amp;'Sh15'!E8&amp;CHAR(34)&amp;" title="&amp;CHAR(34)&amp;'Sh15'!D8&amp;CHAR(34)&amp;"&gt;"))</f>
        <v>&lt;/map&gt;&lt;/div&gt;</v>
      </c>
      <c r="P11" t="str">
        <f>IF(ISBLANK('Sh16'!A8),("&lt;/map&gt;&lt;/div&gt;"),("&lt;area shape="&amp;CHAR(34)&amp;"circle"&amp;CHAR(34)&amp;" target="&amp;CHAR(34)&amp;"_self"&amp;CHAR(34)&amp;" coords="&amp;CHAR(34)&amp;'Sh16'!B8&amp;","&amp;'Sh16'!C8&amp;","&amp;set!$A$2&amp;CHAR(34)&amp;" href="&amp;CHAR(34)&amp;set!$A$3&amp;'Sh16'!A8&amp;set!$A$4&amp;CHAR(34)&amp;" alt="&amp;CHAR(34)&amp;'Sh16'!E8&amp;CHAR(34)&amp;" title="&amp;CHAR(34)&amp;'Sh16'!D8&amp;CHAR(34)&amp;"&gt;"))</f>
        <v>&lt;/map&gt;&lt;/div&gt;</v>
      </c>
      <c r="Q11" t="str">
        <f>IF(ISBLANK('Sh17'!A8),("&lt;/map&gt;&lt;/div&gt;"),("&lt;area shape="&amp;CHAR(34)&amp;"circle"&amp;CHAR(34)&amp;" target="&amp;CHAR(34)&amp;"_self"&amp;CHAR(34)&amp;" coords="&amp;CHAR(34)&amp;'Sh17'!B8&amp;","&amp;'Sh17'!C8&amp;","&amp;set!$A$2&amp;CHAR(34)&amp;" href="&amp;CHAR(34)&amp;set!$A$3&amp;'Sh17'!A8&amp;set!$A$4&amp;CHAR(34)&amp;" alt="&amp;CHAR(34)&amp;'Sh17'!E8&amp;CHAR(34)&amp;" title="&amp;CHAR(34)&amp;'Sh17'!D8&amp;CHAR(34)&amp;"&gt;"))</f>
        <v>&lt;/map&gt;&lt;/div&gt;</v>
      </c>
      <c r="R11" t="str">
        <f>IF(ISBLANK('Sh18'!A8),("&lt;/map&gt;&lt;/div&gt;"),("&lt;area shape="&amp;CHAR(34)&amp;"circle"&amp;CHAR(34)&amp;" target="&amp;CHAR(34)&amp;"_self"&amp;CHAR(34)&amp;" coords="&amp;CHAR(34)&amp;'Sh18'!B8&amp;","&amp;'Sh18'!C8&amp;","&amp;set!$A$2&amp;CHAR(34)&amp;" href="&amp;CHAR(34)&amp;set!$A$3&amp;'Sh18'!A8&amp;set!$A$4&amp;CHAR(34)&amp;" alt="&amp;CHAR(34)&amp;'Sh18'!E8&amp;CHAR(34)&amp;" title="&amp;CHAR(34)&amp;'Sh18'!D8&amp;CHAR(34)&amp;"&gt;"))</f>
        <v>&lt;/map&gt;&lt;/div&gt;</v>
      </c>
      <c r="S11" t="str">
        <f>IF(ISBLANK('Sh19'!A8),("&lt;/map&gt;&lt;/div&gt;"),("&lt;area shape="&amp;CHAR(34)&amp;"circle"&amp;CHAR(34)&amp;" target="&amp;CHAR(34)&amp;"_self"&amp;CHAR(34)&amp;" coords="&amp;CHAR(34)&amp;'Sh19'!B8&amp;","&amp;'Sh19'!C8&amp;","&amp;set!$A$2&amp;CHAR(34)&amp;" href="&amp;CHAR(34)&amp;set!$A$3&amp;'Sh19'!A8&amp;set!$A$4&amp;CHAR(34)&amp;" alt="&amp;CHAR(34)&amp;'Sh19'!E8&amp;CHAR(34)&amp;" title="&amp;CHAR(34)&amp;'Sh19'!D8&amp;CHAR(34)&amp;"&gt;"))</f>
        <v>&lt;/map&gt;&lt;/div&gt;</v>
      </c>
      <c r="T11" t="str">
        <f>IF(ISBLANK('Sh20'!A8),("&lt;/map&gt;&lt;/div&gt;"),("&lt;area shape="&amp;CHAR(34)&amp;"circle"&amp;CHAR(34)&amp;" target="&amp;CHAR(34)&amp;"_self"&amp;CHAR(34)&amp;" coords="&amp;CHAR(34)&amp;'Sh20'!B8&amp;","&amp;'Sh20'!C8&amp;","&amp;set!$A$2&amp;CHAR(34)&amp;" href="&amp;CHAR(34)&amp;set!$A$3&amp;'Sh20'!A8&amp;set!$A$4&amp;CHAR(34)&amp;" alt="&amp;CHAR(34)&amp;'Sh20'!E8&amp;CHAR(34)&amp;" title="&amp;CHAR(34)&amp;'Sh20'!D8&amp;CHAR(34)&amp;"&gt;"))</f>
        <v>&lt;/map&gt;&lt;/div&gt;</v>
      </c>
      <c r="U11" t="str">
        <f>IF(ISBLANK('Sh21'!A8),("&lt;/map&gt;&lt;/div&gt;"),("&lt;area shape="&amp;CHAR(34)&amp;"circle"&amp;CHAR(34)&amp;" target="&amp;CHAR(34)&amp;"_self"&amp;CHAR(34)&amp;" coords="&amp;CHAR(34)&amp;'Sh21'!B8&amp;","&amp;'Sh21'!C8&amp;","&amp;set!$A$2&amp;CHAR(34)&amp;" href="&amp;CHAR(34)&amp;set!$A$3&amp;'Sh21'!A8&amp;set!$A$4&amp;CHAR(34)&amp;" alt="&amp;CHAR(34)&amp;'Sh21'!E8&amp;CHAR(34)&amp;" title="&amp;CHAR(34)&amp;'Sh21'!D8&amp;CHAR(34)&amp;"&gt;"))</f>
        <v>&lt;/map&gt;&lt;/div&gt;</v>
      </c>
      <c r="V11" s="6"/>
      <c r="W11" s="6"/>
      <c r="X11" s="6" t="s">
        <v>82</v>
      </c>
    </row>
    <row r="12" spans="1:24" x14ac:dyDescent="0.25">
      <c r="V12" s="6"/>
      <c r="W12" s="6"/>
      <c r="X12" s="6" t="s">
        <v>82</v>
      </c>
    </row>
    <row r="13" spans="1:24" x14ac:dyDescent="0.25">
      <c r="V13" s="6"/>
      <c r="W13" s="6"/>
      <c r="X13" s="6" t="s">
        <v>82</v>
      </c>
    </row>
    <row r="14" spans="1:24" x14ac:dyDescent="0.25">
      <c r="V14" s="6"/>
      <c r="W14" s="6"/>
      <c r="X14" s="6" t="s">
        <v>100</v>
      </c>
    </row>
    <row r="15" spans="1:24" x14ac:dyDescent="0.25">
      <c r="X15" s="6" t="s">
        <v>97</v>
      </c>
    </row>
    <row r="16" spans="1:24" x14ac:dyDescent="0.25">
      <c r="X16" s="6" t="s">
        <v>98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5"/>
  <sheetViews>
    <sheetView workbookViewId="0">
      <selection activeCell="D16" sqref="D16"/>
    </sheetView>
  </sheetViews>
  <sheetFormatPr defaultRowHeight="15" x14ac:dyDescent="0.25"/>
  <cols>
    <col min="1" max="1" width="37" style="4" customWidth="1"/>
    <col min="2" max="2" width="32" customWidth="1"/>
  </cols>
  <sheetData>
    <row r="1" spans="1:2" x14ac:dyDescent="0.25">
      <c r="A1" s="4" t="s">
        <v>0</v>
      </c>
      <c r="B1" t="s">
        <v>49</v>
      </c>
    </row>
    <row r="2" spans="1:2" x14ac:dyDescent="0.25">
      <c r="A2" s="4">
        <v>11</v>
      </c>
      <c r="B2" t="s">
        <v>50</v>
      </c>
    </row>
    <row r="3" spans="1:2" x14ac:dyDescent="0.25">
      <c r="A3" s="4" t="s">
        <v>39</v>
      </c>
      <c r="B3" t="s">
        <v>51</v>
      </c>
    </row>
    <row r="4" spans="1:2" x14ac:dyDescent="0.25">
      <c r="A4" s="4" t="s">
        <v>40</v>
      </c>
      <c r="B4" t="s">
        <v>52</v>
      </c>
    </row>
    <row r="5" spans="1:2" x14ac:dyDescent="0.25">
      <c r="A5" s="4" t="s">
        <v>48</v>
      </c>
      <c r="B5" t="s">
        <v>53</v>
      </c>
    </row>
  </sheetData>
  <hyperlinks>
    <hyperlink ref="A3" r:id="rId1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U25"/>
  <sheetViews>
    <sheetView workbookViewId="0">
      <selection activeCell="P10" sqref="P10"/>
    </sheetView>
  </sheetViews>
  <sheetFormatPr defaultColWidth="10.7109375" defaultRowHeight="15" x14ac:dyDescent="0.25"/>
  <sheetData>
    <row r="1" spans="1:21" x14ac:dyDescent="0.25">
      <c r="A1" t="s">
        <v>2</v>
      </c>
      <c r="B1" t="s">
        <v>3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33</v>
      </c>
      <c r="L1" t="s">
        <v>83</v>
      </c>
      <c r="M1" t="s">
        <v>84</v>
      </c>
      <c r="N1" t="s">
        <v>85</v>
      </c>
      <c r="O1" t="s">
        <v>86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96</v>
      </c>
    </row>
    <row r="2" spans="1:21" x14ac:dyDescent="0.25">
      <c r="A2" t="s">
        <v>1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87</v>
      </c>
      <c r="M2" t="s">
        <v>87</v>
      </c>
      <c r="N2" t="s">
        <v>87</v>
      </c>
      <c r="O2" t="s">
        <v>87</v>
      </c>
      <c r="P2" t="s">
        <v>87</v>
      </c>
      <c r="Q2" t="s">
        <v>87</v>
      </c>
      <c r="R2" t="s">
        <v>87</v>
      </c>
      <c r="S2" t="s">
        <v>87</v>
      </c>
      <c r="T2" t="s">
        <v>87</v>
      </c>
      <c r="U2" t="s">
        <v>87</v>
      </c>
    </row>
    <row r="3" spans="1:21" s="9" customFormat="1" ht="52.5" customHeight="1" x14ac:dyDescent="0.25">
      <c r="A3" s="9" t="s">
        <v>14</v>
      </c>
      <c r="B3" s="9" t="s">
        <v>15</v>
      </c>
      <c r="C3" s="9" t="s">
        <v>16</v>
      </c>
      <c r="D3" s="9" t="s">
        <v>17</v>
      </c>
      <c r="E3" s="9" t="s">
        <v>18</v>
      </c>
      <c r="F3" s="9" t="s">
        <v>19</v>
      </c>
      <c r="G3" s="9" t="s">
        <v>20</v>
      </c>
      <c r="H3" s="9" t="s">
        <v>21</v>
      </c>
      <c r="I3" s="9" t="s">
        <v>22</v>
      </c>
      <c r="J3" s="9" t="s">
        <v>23</v>
      </c>
      <c r="K3" s="9" t="s">
        <v>24</v>
      </c>
      <c r="L3" s="9" t="s">
        <v>88</v>
      </c>
      <c r="M3" s="9" t="s">
        <v>88</v>
      </c>
      <c r="N3" s="9" t="s">
        <v>88</v>
      </c>
      <c r="O3" s="9" t="s">
        <v>88</v>
      </c>
      <c r="P3" s="9" t="s">
        <v>88</v>
      </c>
      <c r="Q3" s="9" t="s">
        <v>88</v>
      </c>
      <c r="R3" s="9" t="s">
        <v>88</v>
      </c>
      <c r="S3" s="9" t="s">
        <v>88</v>
      </c>
      <c r="T3" s="9" t="s">
        <v>88</v>
      </c>
      <c r="U3" s="9" t="s">
        <v>88</v>
      </c>
    </row>
    <row r="4" spans="1:2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2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2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2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2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2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2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2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2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2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2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21" x14ac:dyDescent="0.25">
      <c r="A15" t="s">
        <v>2</v>
      </c>
      <c r="B15" t="s">
        <v>1</v>
      </c>
      <c r="C15" s="8" t="s">
        <v>14</v>
      </c>
      <c r="D15" s="1"/>
    </row>
    <row r="16" spans="1:21" x14ac:dyDescent="0.25">
      <c r="A16" t="s">
        <v>3</v>
      </c>
      <c r="B16" t="s">
        <v>4</v>
      </c>
      <c r="C16" s="8" t="s">
        <v>15</v>
      </c>
    </row>
    <row r="17" spans="1:3" x14ac:dyDescent="0.25">
      <c r="A17" t="s">
        <v>25</v>
      </c>
      <c r="B17" t="s">
        <v>5</v>
      </c>
      <c r="C17" s="8" t="s">
        <v>16</v>
      </c>
    </row>
    <row r="18" spans="1:3" x14ac:dyDescent="0.25">
      <c r="A18" t="s">
        <v>26</v>
      </c>
      <c r="B18" t="s">
        <v>6</v>
      </c>
      <c r="C18" s="8" t="s">
        <v>17</v>
      </c>
    </row>
    <row r="19" spans="1:3" x14ac:dyDescent="0.25">
      <c r="A19" t="s">
        <v>27</v>
      </c>
      <c r="B19" t="s">
        <v>7</v>
      </c>
      <c r="C19" s="8" t="s">
        <v>18</v>
      </c>
    </row>
    <row r="20" spans="1:3" x14ac:dyDescent="0.25">
      <c r="A20" t="s">
        <v>28</v>
      </c>
      <c r="B20" t="s">
        <v>8</v>
      </c>
      <c r="C20" s="8" t="s">
        <v>19</v>
      </c>
    </row>
    <row r="21" spans="1:3" x14ac:dyDescent="0.25">
      <c r="A21" t="s">
        <v>29</v>
      </c>
      <c r="B21" t="s">
        <v>9</v>
      </c>
      <c r="C21" s="8" t="s">
        <v>20</v>
      </c>
    </row>
    <row r="22" spans="1:3" x14ac:dyDescent="0.25">
      <c r="A22" t="s">
        <v>30</v>
      </c>
      <c r="B22" t="s">
        <v>10</v>
      </c>
      <c r="C22" s="8" t="s">
        <v>21</v>
      </c>
    </row>
    <row r="23" spans="1:3" x14ac:dyDescent="0.25">
      <c r="A23" t="s">
        <v>31</v>
      </c>
      <c r="B23" t="s">
        <v>11</v>
      </c>
      <c r="C23" s="8" t="s">
        <v>22</v>
      </c>
    </row>
    <row r="24" spans="1:3" x14ac:dyDescent="0.25">
      <c r="A24" t="s">
        <v>32</v>
      </c>
      <c r="B24" t="s">
        <v>12</v>
      </c>
      <c r="C24" s="8" t="s">
        <v>23</v>
      </c>
    </row>
    <row r="25" spans="1:3" x14ac:dyDescent="0.25">
      <c r="A25" t="s">
        <v>33</v>
      </c>
      <c r="B25" t="s">
        <v>13</v>
      </c>
      <c r="C25" s="8" t="s">
        <v>24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7"/>
  <sheetViews>
    <sheetView workbookViewId="0"/>
  </sheetViews>
  <sheetFormatPr defaultRowHeight="15" x14ac:dyDescent="0.25"/>
  <cols>
    <col min="1" max="1" width="14" style="3" customWidth="1"/>
    <col min="2" max="3" width="9.140625" style="3"/>
    <col min="4" max="4" width="28.140625" customWidth="1"/>
  </cols>
  <sheetData>
    <row r="1" spans="1:5" x14ac:dyDescent="0.25">
      <c r="A1" s="2" t="s">
        <v>43</v>
      </c>
      <c r="B1" s="3">
        <v>100</v>
      </c>
      <c r="C1" s="3">
        <v>150</v>
      </c>
      <c r="D1" t="s">
        <v>34</v>
      </c>
      <c r="E1">
        <v>1</v>
      </c>
    </row>
    <row r="2" spans="1:5" x14ac:dyDescent="0.25">
      <c r="A2" s="2" t="s">
        <v>44</v>
      </c>
      <c r="B2" s="3">
        <v>200</v>
      </c>
      <c r="C2" s="3">
        <v>250</v>
      </c>
      <c r="D2" t="s">
        <v>35</v>
      </c>
      <c r="E2">
        <v>2</v>
      </c>
    </row>
    <row r="3" spans="1:5" x14ac:dyDescent="0.25">
      <c r="A3" s="2" t="s">
        <v>45</v>
      </c>
      <c r="B3" s="3">
        <v>300</v>
      </c>
      <c r="C3" s="3">
        <v>350</v>
      </c>
      <c r="D3" t="s">
        <v>36</v>
      </c>
      <c r="E3">
        <v>3</v>
      </c>
    </row>
    <row r="4" spans="1:5" x14ac:dyDescent="0.25">
      <c r="A4" s="2" t="s">
        <v>46</v>
      </c>
      <c r="B4" s="3">
        <v>400</v>
      </c>
      <c r="C4" s="3">
        <v>450</v>
      </c>
      <c r="D4" t="s">
        <v>34</v>
      </c>
      <c r="E4">
        <v>4</v>
      </c>
    </row>
    <row r="5" spans="1:5" x14ac:dyDescent="0.25">
      <c r="A5" s="2" t="s">
        <v>47</v>
      </c>
      <c r="B5" s="3">
        <v>500</v>
      </c>
      <c r="C5" s="3">
        <v>550</v>
      </c>
      <c r="D5" t="s">
        <v>37</v>
      </c>
      <c r="E5">
        <v>5</v>
      </c>
    </row>
    <row r="6" spans="1:5" x14ac:dyDescent="0.25">
      <c r="A6" s="2" t="s">
        <v>41</v>
      </c>
      <c r="B6" s="3">
        <v>600</v>
      </c>
      <c r="C6" s="3">
        <v>650</v>
      </c>
      <c r="D6" t="s">
        <v>34</v>
      </c>
      <c r="E6">
        <v>6</v>
      </c>
    </row>
    <row r="7" spans="1:5" x14ac:dyDescent="0.25">
      <c r="A7" s="2" t="s">
        <v>42</v>
      </c>
      <c r="B7" s="3">
        <v>700</v>
      </c>
      <c r="C7" s="3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7"/>
  <sheetViews>
    <sheetView workbookViewId="0"/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54</v>
      </c>
      <c r="B1" s="5">
        <v>800</v>
      </c>
      <c r="C1" s="5">
        <v>850</v>
      </c>
      <c r="D1" t="s">
        <v>61</v>
      </c>
      <c r="E1">
        <v>1</v>
      </c>
    </row>
    <row r="2" spans="1:5" x14ac:dyDescent="0.25">
      <c r="A2" s="2" t="s">
        <v>55</v>
      </c>
      <c r="B2" s="5">
        <v>900</v>
      </c>
      <c r="C2" s="5">
        <v>950</v>
      </c>
      <c r="D2" t="s">
        <v>62</v>
      </c>
      <c r="E2">
        <v>2</v>
      </c>
    </row>
    <row r="3" spans="1:5" x14ac:dyDescent="0.25">
      <c r="A3" s="2" t="s">
        <v>56</v>
      </c>
      <c r="B3" s="5">
        <v>1000</v>
      </c>
      <c r="C3" s="5">
        <v>1050</v>
      </c>
      <c r="D3" t="s">
        <v>63</v>
      </c>
      <c r="E3">
        <v>3</v>
      </c>
    </row>
    <row r="4" spans="1:5" x14ac:dyDescent="0.25">
      <c r="A4" s="2" t="s">
        <v>57</v>
      </c>
      <c r="B4" s="5">
        <v>1100</v>
      </c>
      <c r="C4" s="5">
        <v>1150</v>
      </c>
      <c r="D4" t="s">
        <v>64</v>
      </c>
      <c r="E4">
        <v>4</v>
      </c>
    </row>
    <row r="5" spans="1:5" x14ac:dyDescent="0.25">
      <c r="A5" s="2" t="s">
        <v>58</v>
      </c>
      <c r="B5" s="5">
        <v>1200</v>
      </c>
      <c r="C5" s="5">
        <v>1250</v>
      </c>
      <c r="D5" t="s">
        <v>65</v>
      </c>
      <c r="E5">
        <v>5</v>
      </c>
    </row>
    <row r="6" spans="1:5" x14ac:dyDescent="0.25">
      <c r="A6" s="2" t="s">
        <v>59</v>
      </c>
      <c r="B6" s="5">
        <v>1300</v>
      </c>
      <c r="C6" s="5">
        <v>1350</v>
      </c>
      <c r="D6" t="s">
        <v>66</v>
      </c>
      <c r="E6">
        <v>6</v>
      </c>
    </row>
    <row r="7" spans="1:5" x14ac:dyDescent="0.25">
      <c r="A7" s="2" t="s">
        <v>60</v>
      </c>
      <c r="B7" s="5">
        <v>1400</v>
      </c>
      <c r="C7" s="5">
        <v>1450</v>
      </c>
      <c r="D7" t="s">
        <v>67</v>
      </c>
      <c r="E7"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7"/>
  <sheetViews>
    <sheetView workbookViewId="0"/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7"/>
  <sheetViews>
    <sheetView workbookViewId="0"/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7"/>
  <sheetViews>
    <sheetView workbookViewId="0">
      <selection sqref="A1:XFD1048576"/>
    </sheetView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7"/>
  <sheetViews>
    <sheetView workbookViewId="0">
      <selection sqref="A1:XFD1048576"/>
    </sheetView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7"/>
  <sheetViews>
    <sheetView workbookViewId="0">
      <selection sqref="A1:XFD1048576"/>
    </sheetView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7"/>
  <sheetViews>
    <sheetView workbookViewId="0">
      <selection sqref="A1:XFD1048576"/>
    </sheetView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7"/>
  <sheetViews>
    <sheetView workbookViewId="0">
      <selection sqref="A1:XFD1048576"/>
    </sheetView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7"/>
  <sheetViews>
    <sheetView workbookViewId="0">
      <selection sqref="A1:XFD1048576"/>
    </sheetView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7"/>
  <sheetViews>
    <sheetView workbookViewId="0">
      <selection sqref="A1:XFD1048576"/>
    </sheetView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7"/>
  <sheetViews>
    <sheetView workbookViewId="0">
      <selection sqref="A1:XFD1048576"/>
    </sheetView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7"/>
  <sheetViews>
    <sheetView workbookViewId="0">
      <selection sqref="A1:XFD1048576"/>
    </sheetView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7"/>
  <sheetViews>
    <sheetView workbookViewId="0">
      <selection sqref="A1:XFD1048576"/>
    </sheetView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7"/>
  <sheetViews>
    <sheetView workbookViewId="0">
      <selection sqref="A1:XFD1048576"/>
    </sheetView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7"/>
  <sheetViews>
    <sheetView workbookViewId="0">
      <selection sqref="A1:XFD1048576"/>
    </sheetView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7"/>
  <sheetViews>
    <sheetView workbookViewId="0">
      <selection sqref="A1:XFD1048576"/>
    </sheetView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7"/>
  <sheetViews>
    <sheetView workbookViewId="0">
      <selection sqref="A1:XFD1048576"/>
    </sheetView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7"/>
  <sheetViews>
    <sheetView workbookViewId="0">
      <selection sqref="A1:XFD1048576"/>
    </sheetView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7"/>
  <sheetViews>
    <sheetView workbookViewId="0">
      <selection sqref="A1:XFD1048576"/>
    </sheetView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7"/>
  <sheetViews>
    <sheetView workbookViewId="0">
      <selection activeCell="D11" sqref="D11"/>
    </sheetView>
  </sheetViews>
  <sheetFormatPr defaultRowHeight="15" x14ac:dyDescent="0.25"/>
  <cols>
    <col min="1" max="1" width="14" style="5" customWidth="1"/>
    <col min="2" max="3" width="9.140625" style="5"/>
    <col min="4" max="4" width="28.140625" customWidth="1"/>
  </cols>
  <sheetData>
    <row r="1" spans="1:5" x14ac:dyDescent="0.25">
      <c r="A1" s="2" t="s">
        <v>43</v>
      </c>
      <c r="B1" s="5">
        <v>100</v>
      </c>
      <c r="C1" s="5">
        <v>150</v>
      </c>
      <c r="D1" t="s">
        <v>34</v>
      </c>
      <c r="E1">
        <v>1</v>
      </c>
    </row>
    <row r="2" spans="1:5" x14ac:dyDescent="0.25">
      <c r="A2" s="2" t="s">
        <v>44</v>
      </c>
      <c r="B2" s="5">
        <v>200</v>
      </c>
      <c r="C2" s="5">
        <v>250</v>
      </c>
      <c r="D2" t="s">
        <v>35</v>
      </c>
      <c r="E2">
        <v>2</v>
      </c>
    </row>
    <row r="3" spans="1:5" x14ac:dyDescent="0.25">
      <c r="A3" s="2" t="s">
        <v>45</v>
      </c>
      <c r="B3" s="5">
        <v>300</v>
      </c>
      <c r="C3" s="5">
        <v>350</v>
      </c>
      <c r="D3" t="s">
        <v>36</v>
      </c>
      <c r="E3">
        <v>3</v>
      </c>
    </row>
    <row r="4" spans="1:5" x14ac:dyDescent="0.25">
      <c r="A4" s="2" t="s">
        <v>46</v>
      </c>
      <c r="B4" s="5">
        <v>400</v>
      </c>
      <c r="C4" s="5">
        <v>450</v>
      </c>
      <c r="D4" t="s">
        <v>34</v>
      </c>
      <c r="E4">
        <v>4</v>
      </c>
    </row>
    <row r="5" spans="1:5" x14ac:dyDescent="0.25">
      <c r="A5" s="2" t="s">
        <v>47</v>
      </c>
      <c r="B5" s="5">
        <v>500</v>
      </c>
      <c r="C5" s="5">
        <v>550</v>
      </c>
      <c r="D5" t="s">
        <v>37</v>
      </c>
      <c r="E5">
        <v>5</v>
      </c>
    </row>
    <row r="6" spans="1:5" x14ac:dyDescent="0.25">
      <c r="A6" s="2" t="s">
        <v>41</v>
      </c>
      <c r="B6" s="5">
        <v>600</v>
      </c>
      <c r="C6" s="5">
        <v>650</v>
      </c>
      <c r="D6" t="s">
        <v>34</v>
      </c>
      <c r="E6">
        <v>6</v>
      </c>
    </row>
    <row r="7" spans="1:5" x14ac:dyDescent="0.25">
      <c r="A7" s="2" t="s">
        <v>42</v>
      </c>
      <c r="B7" s="5">
        <v>700</v>
      </c>
      <c r="C7" s="5">
        <v>750</v>
      </c>
      <c r="D7" t="s">
        <v>38</v>
      </c>
      <c r="E7">
        <v>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3"/>
  <sheetViews>
    <sheetView workbookViewId="0">
      <selection activeCell="B4" sqref="B4"/>
    </sheetView>
  </sheetViews>
  <sheetFormatPr defaultRowHeight="15" x14ac:dyDescent="0.25"/>
  <cols>
    <col min="1" max="1" width="18.140625" customWidth="1"/>
    <col min="2" max="2" width="22.28515625" customWidth="1"/>
  </cols>
  <sheetData>
    <row r="1" spans="1:2" x14ac:dyDescent="0.25">
      <c r="A1" t="s">
        <v>68</v>
      </c>
      <c r="B1" t="s">
        <v>69</v>
      </c>
    </row>
    <row r="2" spans="1:2" x14ac:dyDescent="0.25">
      <c r="A2" t="s">
        <v>70</v>
      </c>
      <c r="B2" t="s">
        <v>71</v>
      </c>
    </row>
    <row r="3" spans="1:2" x14ac:dyDescent="0.25">
      <c r="A3" t="s">
        <v>89</v>
      </c>
      <c r="B3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26</vt:i4>
      </vt:variant>
      <vt:variant>
        <vt:lpstr>Именованные диапазоны</vt:lpstr>
      </vt:variant>
      <vt:variant>
        <vt:i4>1</vt:i4>
      </vt:variant>
    </vt:vector>
  </HeadingPairs>
  <TitlesOfParts>
    <vt:vector size="27" baseType="lpstr">
      <vt:lpstr>ResTotal</vt:lpstr>
      <vt:lpstr>ResDIV</vt:lpstr>
      <vt:lpstr>set</vt:lpstr>
      <vt:lpstr>Заголовки</vt:lpstr>
      <vt:lpstr>Sh1</vt:lpstr>
      <vt:lpstr>Sh2</vt:lpstr>
      <vt:lpstr>Sh3</vt:lpstr>
      <vt:lpstr>Sh4</vt:lpstr>
      <vt:lpstr>Sh5</vt:lpstr>
      <vt:lpstr>Sh6</vt:lpstr>
      <vt:lpstr>Sh7</vt:lpstr>
      <vt:lpstr>Sh8</vt:lpstr>
      <vt:lpstr>Sh9</vt:lpstr>
      <vt:lpstr>Sh10</vt:lpstr>
      <vt:lpstr>Sh11</vt:lpstr>
      <vt:lpstr>Sh12</vt:lpstr>
      <vt:lpstr>Sh13</vt:lpstr>
      <vt:lpstr>Sh14</vt:lpstr>
      <vt:lpstr>Sh15</vt:lpstr>
      <vt:lpstr>Sh16</vt:lpstr>
      <vt:lpstr>Sh17</vt:lpstr>
      <vt:lpstr>Sh18</vt:lpstr>
      <vt:lpstr>Sh19</vt:lpstr>
      <vt:lpstr>Sh20</vt:lpstr>
      <vt:lpstr>Sh21</vt:lpstr>
      <vt:lpstr>Спецсимволы</vt:lpstr>
      <vt:lpstr>ResDIVs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fix</dc:creator>
  <cp:lastModifiedBy>Засыпкин Станислав</cp:lastModifiedBy>
  <dcterms:created xsi:type="dcterms:W3CDTF">2020-05-16T20:39:04Z</dcterms:created>
  <dcterms:modified xsi:type="dcterms:W3CDTF">2020-05-19T13:25:18Z</dcterms:modified>
</cp:coreProperties>
</file>